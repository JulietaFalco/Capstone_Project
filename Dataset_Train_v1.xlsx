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KBS\1-DATA6000\A2\Datasets\"/>
    </mc:Choice>
  </mc:AlternateContent>
  <xr:revisionPtr revIDLastSave="0" documentId="13_ncr:1_{E041EE17-0931-417B-BFA9-C4070DD705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Set_13-22" sheetId="1" r:id="rId1"/>
  </sheets>
  <definedNames>
    <definedName name="_xlnm._FilterDatabase" localSheetId="0" hidden="1">'TrainSet_13-22'!$A$1:$DE$161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0" i="1" l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9" i="1"/>
  <c r="CY8" i="1"/>
  <c r="CY7" i="1"/>
  <c r="CY6" i="1"/>
  <c r="CY5" i="1"/>
  <c r="CY4" i="1"/>
  <c r="CY3" i="1"/>
  <c r="CY2" i="1"/>
  <c r="CN157" i="1"/>
  <c r="CN156" i="1" s="1"/>
  <c r="CN155" i="1" s="1"/>
  <c r="CN154" i="1" s="1"/>
  <c r="CM157" i="1"/>
  <c r="CM156" i="1" s="1"/>
  <c r="CM155" i="1" s="1"/>
  <c r="CM154" i="1" s="1"/>
  <c r="CL157" i="1"/>
  <c r="CL156" i="1" s="1"/>
  <c r="CL155" i="1" s="1"/>
  <c r="CL154" i="1" s="1"/>
  <c r="CK157" i="1"/>
  <c r="CK156" i="1" s="1"/>
  <c r="CK155" i="1" s="1"/>
  <c r="CK154" i="1" s="1"/>
  <c r="CJ157" i="1"/>
  <c r="CJ156" i="1" s="1"/>
  <c r="CJ155" i="1" s="1"/>
  <c r="CJ154" i="1" s="1"/>
  <c r="CI157" i="1"/>
  <c r="CI156" i="1" s="1"/>
  <c r="CI155" i="1" s="1"/>
  <c r="CI154" i="1" s="1"/>
  <c r="CH157" i="1"/>
  <c r="CH156" i="1" s="1"/>
  <c r="CH155" i="1" s="1"/>
  <c r="CH154" i="1" s="1"/>
  <c r="CG157" i="1"/>
  <c r="CG156" i="1" s="1"/>
  <c r="CG155" i="1" s="1"/>
  <c r="CG154" i="1" s="1"/>
  <c r="CF157" i="1"/>
  <c r="CF156" i="1" s="1"/>
  <c r="CF155" i="1" s="1"/>
  <c r="CF154" i="1" s="1"/>
  <c r="CE157" i="1"/>
  <c r="CE156" i="1" s="1"/>
  <c r="CE155" i="1" s="1"/>
  <c r="CE154" i="1" s="1"/>
  <c r="CD157" i="1"/>
  <c r="CD156" i="1" s="1"/>
  <c r="CD155" i="1" s="1"/>
  <c r="CD154" i="1" s="1"/>
  <c r="CC157" i="1"/>
  <c r="CC156" i="1" s="1"/>
  <c r="CC155" i="1" s="1"/>
  <c r="CC154" i="1" s="1"/>
  <c r="CB157" i="1"/>
  <c r="CB156" i="1" s="1"/>
  <c r="CB155" i="1" s="1"/>
  <c r="CB154" i="1" s="1"/>
  <c r="CA157" i="1"/>
  <c r="CA156" i="1" s="1"/>
  <c r="CA155" i="1" s="1"/>
  <c r="CA154" i="1" s="1"/>
  <c r="BZ157" i="1"/>
  <c r="BZ156" i="1" s="1"/>
  <c r="BZ155" i="1" s="1"/>
  <c r="BZ154" i="1" s="1"/>
  <c r="BY157" i="1"/>
  <c r="BY156" i="1" s="1"/>
  <c r="BY155" i="1" s="1"/>
  <c r="BY154" i="1" s="1"/>
  <c r="BX157" i="1"/>
  <c r="BX156" i="1" s="1"/>
  <c r="BX155" i="1" s="1"/>
  <c r="BX154" i="1" s="1"/>
  <c r="BW157" i="1"/>
  <c r="BW156" i="1" s="1"/>
  <c r="BW155" i="1" s="1"/>
  <c r="BW154" i="1" s="1"/>
  <c r="BV157" i="1"/>
  <c r="BV156" i="1" s="1"/>
  <c r="BV155" i="1" s="1"/>
  <c r="BV154" i="1" s="1"/>
  <c r="BU157" i="1"/>
  <c r="BU156" i="1" s="1"/>
  <c r="BU155" i="1" s="1"/>
  <c r="BU154" i="1" s="1"/>
  <c r="BT157" i="1"/>
  <c r="BT156" i="1" s="1"/>
  <c r="BT155" i="1" s="1"/>
  <c r="BT154" i="1" s="1"/>
  <c r="BS157" i="1"/>
  <c r="BS156" i="1" s="1"/>
  <c r="BS155" i="1" s="1"/>
  <c r="BS154" i="1" s="1"/>
  <c r="BR157" i="1"/>
  <c r="BR156" i="1" s="1"/>
  <c r="BR155" i="1" s="1"/>
  <c r="BR154" i="1" s="1"/>
  <c r="BQ157" i="1"/>
  <c r="BQ156" i="1" s="1"/>
  <c r="BQ155" i="1" s="1"/>
  <c r="BQ154" i="1" s="1"/>
  <c r="BP157" i="1"/>
  <c r="BP156" i="1" s="1"/>
  <c r="BP155" i="1" s="1"/>
  <c r="BP154" i="1" s="1"/>
  <c r="BO157" i="1"/>
  <c r="BO156" i="1" s="1"/>
  <c r="BO155" i="1" s="1"/>
  <c r="BO154" i="1" s="1"/>
  <c r="BN157" i="1"/>
  <c r="BN156" i="1" s="1"/>
  <c r="BN155" i="1" s="1"/>
  <c r="BN154" i="1" s="1"/>
  <c r="BM157" i="1"/>
  <c r="BM156" i="1" s="1"/>
  <c r="BM155" i="1" s="1"/>
  <c r="BM154" i="1" s="1"/>
  <c r="BL157" i="1"/>
  <c r="BL156" i="1" s="1"/>
  <c r="BL155" i="1" s="1"/>
  <c r="BL154" i="1" s="1"/>
  <c r="BK157" i="1"/>
  <c r="BK156" i="1" s="1"/>
  <c r="BK155" i="1" s="1"/>
  <c r="BK154" i="1" s="1"/>
  <c r="BJ157" i="1"/>
  <c r="BJ156" i="1" s="1"/>
  <c r="BJ155" i="1" s="1"/>
  <c r="BJ154" i="1" s="1"/>
  <c r="BI157" i="1"/>
  <c r="BI156" i="1" s="1"/>
  <c r="BI155" i="1" s="1"/>
  <c r="BI154" i="1" s="1"/>
  <c r="BH157" i="1"/>
  <c r="BH156" i="1" s="1"/>
  <c r="BH155" i="1" s="1"/>
  <c r="BH154" i="1" s="1"/>
  <c r="BG157" i="1"/>
  <c r="BG156" i="1" s="1"/>
  <c r="BG155" i="1" s="1"/>
  <c r="BG154" i="1" s="1"/>
  <c r="BF157" i="1"/>
  <c r="BF156" i="1" s="1"/>
  <c r="BF155" i="1" s="1"/>
  <c r="BF154" i="1" s="1"/>
  <c r="BE157" i="1"/>
  <c r="BE156" i="1" s="1"/>
  <c r="BE155" i="1" s="1"/>
  <c r="BE154" i="1" s="1"/>
  <c r="BD157" i="1"/>
  <c r="BD156" i="1" s="1"/>
  <c r="BD155" i="1" s="1"/>
  <c r="BD154" i="1" s="1"/>
  <c r="BC157" i="1"/>
  <c r="BC156" i="1" s="1"/>
  <c r="BC155" i="1" s="1"/>
  <c r="BC154" i="1" s="1"/>
  <c r="BB157" i="1"/>
  <c r="BB156" i="1" s="1"/>
  <c r="BB155" i="1" s="1"/>
  <c r="BB154" i="1" s="1"/>
  <c r="BA157" i="1"/>
  <c r="BA156" i="1" s="1"/>
  <c r="BA155" i="1" s="1"/>
  <c r="BA154" i="1" s="1"/>
  <c r="AZ157" i="1"/>
  <c r="AZ156" i="1" s="1"/>
  <c r="AZ155" i="1" s="1"/>
  <c r="AZ154" i="1" s="1"/>
  <c r="AY157" i="1"/>
  <c r="AY156" i="1" s="1"/>
  <c r="AY155" i="1" s="1"/>
  <c r="AY154" i="1" s="1"/>
  <c r="AX157" i="1"/>
  <c r="AX156" i="1" s="1"/>
  <c r="AX155" i="1" s="1"/>
  <c r="AX154" i="1" s="1"/>
  <c r="AW157" i="1"/>
  <c r="AW156" i="1" s="1"/>
  <c r="AW155" i="1" s="1"/>
  <c r="AW154" i="1" s="1"/>
  <c r="AV157" i="1"/>
  <c r="AV156" i="1" s="1"/>
  <c r="AV155" i="1" s="1"/>
  <c r="AV154" i="1" s="1"/>
  <c r="AU157" i="1"/>
  <c r="AU156" i="1" s="1"/>
  <c r="AU155" i="1" s="1"/>
  <c r="AU154" i="1" s="1"/>
  <c r="AT157" i="1"/>
  <c r="AT156" i="1" s="1"/>
  <c r="AT155" i="1" s="1"/>
  <c r="AT154" i="1" s="1"/>
  <c r="AS157" i="1"/>
  <c r="AS156" i="1" s="1"/>
  <c r="AS155" i="1" s="1"/>
  <c r="AS154" i="1" s="1"/>
  <c r="AR157" i="1"/>
  <c r="AR156" i="1" s="1"/>
  <c r="AR155" i="1" s="1"/>
  <c r="AR154" i="1" s="1"/>
  <c r="AQ157" i="1"/>
  <c r="AQ156" i="1" s="1"/>
  <c r="AQ155" i="1" s="1"/>
  <c r="AQ154" i="1" s="1"/>
  <c r="AP157" i="1"/>
  <c r="AP156" i="1" s="1"/>
  <c r="AP155" i="1" s="1"/>
  <c r="AP154" i="1" s="1"/>
  <c r="AO157" i="1"/>
  <c r="AO156" i="1" s="1"/>
  <c r="AO155" i="1" s="1"/>
  <c r="AO154" i="1" s="1"/>
  <c r="AN157" i="1"/>
  <c r="AN156" i="1" s="1"/>
  <c r="AN155" i="1" s="1"/>
  <c r="AN154" i="1" s="1"/>
  <c r="AM157" i="1"/>
  <c r="AM156" i="1" s="1"/>
  <c r="AM155" i="1" s="1"/>
  <c r="AM154" i="1" s="1"/>
  <c r="AL157" i="1"/>
  <c r="AL156" i="1" s="1"/>
  <c r="AL155" i="1" s="1"/>
  <c r="AL154" i="1" s="1"/>
  <c r="AK157" i="1"/>
  <c r="AK156" i="1" s="1"/>
  <c r="AK155" i="1" s="1"/>
  <c r="AK154" i="1" s="1"/>
  <c r="AJ157" i="1"/>
  <c r="AJ156" i="1" s="1"/>
  <c r="AJ155" i="1" s="1"/>
  <c r="AJ154" i="1" s="1"/>
  <c r="AI157" i="1"/>
  <c r="AI156" i="1" s="1"/>
  <c r="AI155" i="1" s="1"/>
  <c r="AI154" i="1" s="1"/>
  <c r="AH157" i="1"/>
  <c r="AH156" i="1" s="1"/>
  <c r="AH155" i="1" s="1"/>
  <c r="AH154" i="1" s="1"/>
  <c r="AG157" i="1"/>
  <c r="AG156" i="1" s="1"/>
  <c r="AG155" i="1" s="1"/>
  <c r="AG154" i="1" s="1"/>
  <c r="AF157" i="1"/>
  <c r="AF156" i="1" s="1"/>
  <c r="AF155" i="1" s="1"/>
  <c r="AF154" i="1" s="1"/>
  <c r="AE157" i="1"/>
  <c r="AE156" i="1" s="1"/>
  <c r="AE155" i="1" s="1"/>
  <c r="AE154" i="1" s="1"/>
  <c r="AD157" i="1"/>
  <c r="AD156" i="1" s="1"/>
  <c r="AD155" i="1" s="1"/>
  <c r="AD154" i="1" s="1"/>
  <c r="AC157" i="1"/>
  <c r="AC156" i="1" s="1"/>
  <c r="AC155" i="1" s="1"/>
  <c r="AC154" i="1" s="1"/>
  <c r="AB157" i="1"/>
  <c r="AB156" i="1" s="1"/>
  <c r="AB155" i="1" s="1"/>
  <c r="AB154" i="1" s="1"/>
  <c r="AA157" i="1"/>
  <c r="AA156" i="1" s="1"/>
  <c r="AA155" i="1" s="1"/>
  <c r="AA154" i="1" s="1"/>
  <c r="Z157" i="1"/>
  <c r="Z156" i="1" s="1"/>
  <c r="Z155" i="1" s="1"/>
  <c r="Z154" i="1" s="1"/>
  <c r="Y157" i="1"/>
  <c r="Y156" i="1" s="1"/>
  <c r="Y155" i="1" s="1"/>
  <c r="Y154" i="1" s="1"/>
  <c r="X157" i="1"/>
  <c r="X156" i="1" s="1"/>
  <c r="X155" i="1" s="1"/>
  <c r="X154" i="1" s="1"/>
  <c r="W157" i="1"/>
  <c r="W156" i="1" s="1"/>
  <c r="W155" i="1" s="1"/>
  <c r="W154" i="1" s="1"/>
  <c r="V157" i="1"/>
  <c r="V156" i="1" s="1"/>
  <c r="V155" i="1" s="1"/>
  <c r="V154" i="1" s="1"/>
  <c r="U157" i="1"/>
  <c r="U156" i="1" s="1"/>
  <c r="U155" i="1" s="1"/>
  <c r="U154" i="1" s="1"/>
  <c r="T157" i="1"/>
  <c r="T156" i="1" s="1"/>
  <c r="T155" i="1" s="1"/>
  <c r="T154" i="1" s="1"/>
  <c r="S157" i="1"/>
  <c r="S156" i="1" s="1"/>
  <c r="S155" i="1" s="1"/>
  <c r="S154" i="1" s="1"/>
  <c r="R157" i="1"/>
  <c r="R156" i="1" s="1"/>
  <c r="R155" i="1" s="1"/>
  <c r="R154" i="1" s="1"/>
  <c r="Q157" i="1"/>
  <c r="Q156" i="1" s="1"/>
  <c r="Q155" i="1" s="1"/>
  <c r="Q154" i="1" s="1"/>
  <c r="P157" i="1"/>
  <c r="P156" i="1" s="1"/>
  <c r="P155" i="1" s="1"/>
  <c r="P154" i="1" s="1"/>
  <c r="O157" i="1"/>
  <c r="O156" i="1" s="1"/>
  <c r="O155" i="1" s="1"/>
  <c r="O154" i="1" s="1"/>
  <c r="N157" i="1"/>
  <c r="N156" i="1" s="1"/>
  <c r="N155" i="1" s="1"/>
  <c r="N154" i="1" s="1"/>
  <c r="M157" i="1"/>
  <c r="M156" i="1" s="1"/>
  <c r="M155" i="1" s="1"/>
  <c r="M154" i="1" s="1"/>
  <c r="L157" i="1"/>
  <c r="L156" i="1" s="1"/>
  <c r="L155" i="1" s="1"/>
  <c r="L154" i="1" s="1"/>
  <c r="K157" i="1"/>
  <c r="K156" i="1" s="1"/>
  <c r="K155" i="1" s="1"/>
  <c r="K154" i="1" s="1"/>
  <c r="J157" i="1"/>
  <c r="J156" i="1" s="1"/>
  <c r="J155" i="1" s="1"/>
  <c r="J154" i="1" s="1"/>
  <c r="I157" i="1"/>
  <c r="I156" i="1" s="1"/>
  <c r="I155" i="1" s="1"/>
  <c r="I154" i="1" s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7" i="1"/>
  <c r="BZ146" i="1" s="1"/>
  <c r="BY147" i="1"/>
  <c r="BY146" i="1" s="1"/>
  <c r="BX147" i="1"/>
  <c r="BX146" i="1" s="1"/>
  <c r="BW147" i="1"/>
  <c r="BW146" i="1" s="1"/>
  <c r="BV147" i="1"/>
  <c r="BV146" i="1" s="1"/>
  <c r="BU147" i="1"/>
  <c r="BU146" i="1" s="1"/>
  <c r="BT147" i="1"/>
  <c r="BT146" i="1" s="1"/>
  <c r="BS147" i="1"/>
  <c r="BS146" i="1" s="1"/>
  <c r="BR147" i="1"/>
  <c r="BR146" i="1" s="1"/>
  <c r="BQ147" i="1"/>
  <c r="BQ146" i="1" s="1"/>
  <c r="BP147" i="1"/>
  <c r="BP146" i="1" s="1"/>
  <c r="BO147" i="1"/>
  <c r="BO146" i="1" s="1"/>
  <c r="BN147" i="1"/>
  <c r="BN146" i="1" s="1"/>
  <c r="BM147" i="1"/>
  <c r="BM146" i="1" s="1"/>
  <c r="BL147" i="1"/>
  <c r="BL146" i="1" s="1"/>
  <c r="BK147" i="1"/>
  <c r="BK146" i="1" s="1"/>
  <c r="BJ147" i="1"/>
  <c r="BJ146" i="1" s="1"/>
  <c r="BI147" i="1"/>
  <c r="BI146" i="1" s="1"/>
  <c r="BH147" i="1"/>
  <c r="BH146" i="1" s="1"/>
  <c r="BG147" i="1"/>
  <c r="BG146" i="1" s="1"/>
  <c r="BF147" i="1"/>
  <c r="BF146" i="1" s="1"/>
  <c r="BE147" i="1"/>
  <c r="BE146" i="1" s="1"/>
  <c r="BD147" i="1"/>
  <c r="BD146" i="1" s="1"/>
  <c r="BC147" i="1"/>
  <c r="BC146" i="1" s="1"/>
  <c r="BB147" i="1"/>
  <c r="BB146" i="1" s="1"/>
  <c r="BA147" i="1"/>
  <c r="BA146" i="1" s="1"/>
  <c r="AZ147" i="1"/>
  <c r="AZ146" i="1" s="1"/>
  <c r="AY147" i="1"/>
  <c r="AY146" i="1" s="1"/>
  <c r="AX147" i="1"/>
  <c r="AX146" i="1" s="1"/>
  <c r="AW147" i="1"/>
  <c r="AW146" i="1" s="1"/>
  <c r="AV147" i="1"/>
  <c r="AV146" i="1" s="1"/>
  <c r="AU147" i="1"/>
  <c r="AU146" i="1" s="1"/>
  <c r="AT147" i="1"/>
  <c r="AT146" i="1" s="1"/>
  <c r="AS147" i="1"/>
  <c r="AS146" i="1" s="1"/>
  <c r="AR147" i="1"/>
  <c r="AR146" i="1" s="1"/>
  <c r="AQ147" i="1"/>
  <c r="AQ146" i="1" s="1"/>
  <c r="AP147" i="1"/>
  <c r="AP146" i="1" s="1"/>
  <c r="AO147" i="1"/>
  <c r="AO146" i="1" s="1"/>
  <c r="AN147" i="1"/>
  <c r="AN146" i="1" s="1"/>
  <c r="AM147" i="1"/>
  <c r="AM146" i="1" s="1"/>
  <c r="AL147" i="1"/>
  <c r="AL146" i="1" s="1"/>
  <c r="AK147" i="1"/>
  <c r="AK146" i="1" s="1"/>
  <c r="AJ147" i="1"/>
  <c r="AJ146" i="1" s="1"/>
  <c r="AI147" i="1"/>
  <c r="AI146" i="1" s="1"/>
  <c r="AH147" i="1"/>
  <c r="AH146" i="1" s="1"/>
  <c r="AG147" i="1"/>
  <c r="AG146" i="1" s="1"/>
  <c r="AF147" i="1"/>
  <c r="AF146" i="1" s="1"/>
  <c r="AE147" i="1"/>
  <c r="AE146" i="1" s="1"/>
  <c r="AD147" i="1"/>
  <c r="AD146" i="1" s="1"/>
  <c r="AC147" i="1"/>
  <c r="AC146" i="1" s="1"/>
  <c r="AB147" i="1"/>
  <c r="AB146" i="1" s="1"/>
  <c r="AA147" i="1"/>
  <c r="AA146" i="1" s="1"/>
  <c r="Z147" i="1"/>
  <c r="Z146" i="1" s="1"/>
  <c r="Y147" i="1"/>
  <c r="Y146" i="1" s="1"/>
  <c r="X147" i="1"/>
  <c r="X146" i="1" s="1"/>
  <c r="W147" i="1"/>
  <c r="W146" i="1" s="1"/>
  <c r="V147" i="1"/>
  <c r="V146" i="1" s="1"/>
  <c r="U147" i="1"/>
  <c r="U146" i="1" s="1"/>
  <c r="T147" i="1"/>
  <c r="T146" i="1" s="1"/>
  <c r="S147" i="1"/>
  <c r="S146" i="1" s="1"/>
  <c r="R147" i="1"/>
  <c r="R146" i="1" s="1"/>
  <c r="Q147" i="1"/>
  <c r="Q146" i="1" s="1"/>
  <c r="P147" i="1"/>
  <c r="P146" i="1" s="1"/>
  <c r="O147" i="1"/>
  <c r="O146" i="1" s="1"/>
  <c r="N147" i="1"/>
  <c r="N146" i="1" s="1"/>
  <c r="M147" i="1"/>
  <c r="M146" i="1" s="1"/>
  <c r="L147" i="1"/>
  <c r="L146" i="1" s="1"/>
  <c r="K147" i="1"/>
  <c r="K146" i="1" s="1"/>
  <c r="J147" i="1"/>
  <c r="J146" i="1" s="1"/>
  <c r="I147" i="1"/>
  <c r="I146" i="1" s="1"/>
  <c r="DD83" i="1"/>
  <c r="DD84" i="1"/>
  <c r="DD85" i="1"/>
  <c r="DD86" i="1"/>
  <c r="DD87" i="1"/>
  <c r="DD88" i="1"/>
  <c r="DD89" i="1"/>
  <c r="DD82" i="1"/>
  <c r="BR138" i="1"/>
  <c r="BO138" i="1"/>
  <c r="BK138" i="1"/>
  <c r="BH138" i="1"/>
  <c r="BD138" i="1"/>
  <c r="BA138" i="1"/>
  <c r="AW138" i="1"/>
  <c r="AT138" i="1"/>
  <c r="AP138" i="1"/>
  <c r="AM138" i="1"/>
  <c r="AI138" i="1"/>
  <c r="AF138" i="1"/>
  <c r="AB138" i="1"/>
  <c r="Y138" i="1"/>
  <c r="U138" i="1"/>
  <c r="R138" i="1"/>
  <c r="N138" i="1"/>
  <c r="K138" i="1"/>
  <c r="BR106" i="1"/>
  <c r="BO106" i="1"/>
  <c r="BK106" i="1"/>
  <c r="BH106" i="1"/>
  <c r="BD106" i="1"/>
  <c r="BA106" i="1"/>
  <c r="AW106" i="1"/>
  <c r="AT106" i="1"/>
  <c r="AP106" i="1"/>
  <c r="AM106" i="1"/>
  <c r="AI106" i="1"/>
  <c r="AF106" i="1"/>
  <c r="AB106" i="1"/>
  <c r="Y106" i="1"/>
  <c r="U106" i="1"/>
  <c r="R106" i="1"/>
  <c r="N106" i="1"/>
  <c r="K106" i="1"/>
  <c r="BR122" i="1"/>
  <c r="BO122" i="1"/>
  <c r="BK122" i="1"/>
  <c r="BH122" i="1"/>
  <c r="BD122" i="1"/>
  <c r="BA122" i="1"/>
  <c r="AW122" i="1"/>
  <c r="AT122" i="1"/>
  <c r="AP122" i="1"/>
  <c r="AM122" i="1"/>
  <c r="AI122" i="1"/>
  <c r="AF122" i="1"/>
  <c r="AB122" i="1"/>
  <c r="Y122" i="1"/>
  <c r="U122" i="1"/>
  <c r="R122" i="1"/>
  <c r="N122" i="1"/>
  <c r="K122" i="1"/>
  <c r="BZ75" i="1"/>
  <c r="BZ74" i="1" s="1"/>
  <c r="BS75" i="1"/>
  <c r="BS74" i="1" s="1"/>
  <c r="BL75" i="1"/>
  <c r="BL74" i="1" s="1"/>
  <c r="BE75" i="1"/>
  <c r="BE74" i="1" s="1"/>
  <c r="AX75" i="1"/>
  <c r="AX74" i="1" s="1"/>
  <c r="AQ75" i="1"/>
  <c r="AQ74" i="1" s="1"/>
  <c r="AJ75" i="1"/>
  <c r="AJ74" i="1" s="1"/>
  <c r="AC75" i="1"/>
  <c r="AC74" i="1" s="1"/>
  <c r="V75" i="1"/>
  <c r="V74" i="1" s="1"/>
  <c r="O75" i="1"/>
  <c r="O74" i="1" s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Y74" i="1"/>
  <c r="BX74" i="1"/>
  <c r="BW74" i="1"/>
  <c r="BV74" i="1"/>
  <c r="BU74" i="1"/>
  <c r="BT74" i="1"/>
  <c r="BR74" i="1"/>
  <c r="BQ74" i="1"/>
  <c r="BP74" i="1"/>
  <c r="BO74" i="1"/>
  <c r="BN74" i="1"/>
  <c r="BM74" i="1"/>
  <c r="BK74" i="1"/>
  <c r="BJ74" i="1"/>
  <c r="BI74" i="1"/>
  <c r="BH74" i="1"/>
  <c r="BG74" i="1"/>
  <c r="BF74" i="1"/>
  <c r="BD74" i="1"/>
  <c r="BC74" i="1"/>
  <c r="BB74" i="1"/>
  <c r="BA74" i="1"/>
  <c r="AZ74" i="1"/>
  <c r="AY74" i="1"/>
  <c r="AW74" i="1"/>
  <c r="AV74" i="1"/>
  <c r="AU74" i="1"/>
  <c r="AT74" i="1"/>
  <c r="AS74" i="1"/>
  <c r="AR74" i="1"/>
  <c r="AP74" i="1"/>
  <c r="AO74" i="1"/>
  <c r="AN74" i="1"/>
  <c r="AM74" i="1"/>
  <c r="AL74" i="1"/>
  <c r="AK74" i="1"/>
  <c r="AI74" i="1"/>
  <c r="AH74" i="1"/>
  <c r="AG74" i="1"/>
  <c r="AF74" i="1"/>
  <c r="AE74" i="1"/>
  <c r="AD74" i="1"/>
  <c r="AB74" i="1"/>
  <c r="AA74" i="1"/>
  <c r="Z74" i="1"/>
  <c r="Y74" i="1"/>
  <c r="X74" i="1"/>
  <c r="W74" i="1"/>
  <c r="U74" i="1"/>
  <c r="T74" i="1"/>
  <c r="S74" i="1"/>
  <c r="R74" i="1"/>
  <c r="Q74" i="1"/>
  <c r="P74" i="1"/>
  <c r="N74" i="1"/>
  <c r="M74" i="1"/>
  <c r="L74" i="1"/>
  <c r="K74" i="1"/>
  <c r="J74" i="1"/>
  <c r="I74" i="1"/>
  <c r="BY18" i="1"/>
  <c r="BV18" i="1"/>
  <c r="BR18" i="1"/>
  <c r="BO18" i="1"/>
  <c r="BK18" i="1"/>
  <c r="BH18" i="1"/>
  <c r="BD18" i="1"/>
  <c r="BA18" i="1"/>
  <c r="AW18" i="1"/>
  <c r="AT18" i="1"/>
  <c r="AP18" i="1"/>
  <c r="AM18" i="1"/>
  <c r="AI18" i="1"/>
  <c r="AF18" i="1"/>
  <c r="AB18" i="1"/>
  <c r="Y18" i="1"/>
  <c r="U18" i="1"/>
  <c r="R18" i="1"/>
  <c r="N18" i="1"/>
  <c r="K18" i="1"/>
</calcChain>
</file>

<file path=xl/sharedStrings.xml><?xml version="1.0" encoding="utf-8"?>
<sst xmlns="http://schemas.openxmlformats.org/spreadsheetml/2006/main" count="1076" uniqueCount="172">
  <si>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</si>
  <si>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</si>
  <si>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</si>
  <si>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</si>
  <si>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</si>
  <si>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</si>
  <si>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</si>
  <si>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</si>
  <si>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</si>
  <si>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</si>
  <si>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</si>
  <si>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</si>
  <si>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</si>
  <si>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</si>
  <si>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</si>
  <si>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</si>
  <si>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</si>
  <si>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</si>
  <si>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</si>
  <si>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</si>
  <si>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</si>
  <si>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</si>
  <si>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</si>
  <si>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</si>
  <si>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</si>
  <si>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</si>
  <si>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</si>
  <si>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</si>
  <si>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</si>
  <si>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</si>
  <si>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</si>
  <si>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</si>
  <si>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</si>
  <si>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</si>
  <si>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</si>
  <si>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</si>
  <si>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</si>
  <si>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</si>
  <si>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</si>
  <si>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</si>
  <si>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</si>
  <si>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</si>
  <si>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</si>
  <si>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</si>
  <si>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</si>
  <si>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</si>
  <si>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</si>
  <si>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</si>
  <si>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</si>
  <si>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</si>
  <si>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</si>
  <si>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</si>
  <si>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</si>
  <si>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</si>
  <si>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</si>
  <si>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</si>
  <si>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</si>
  <si>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</si>
  <si>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</si>
  <si>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</si>
  <si>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</si>
  <si>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</si>
  <si>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</si>
  <si>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</si>
  <si>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</si>
  <si>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</si>
  <si>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</si>
  <si>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</si>
  <si>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</si>
  <si>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</si>
  <si>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</si>
  <si>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</si>
  <si>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</si>
  <si>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</si>
  <si>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</si>
  <si>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</si>
  <si>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</si>
  <si>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</si>
  <si>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</si>
  <si>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</si>
  <si>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</si>
  <si>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</si>
  <si>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</si>
  <si>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</si>
  <si>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</si>
  <si>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</si>
  <si>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</si>
  <si>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</si>
  <si>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</si>
  <si>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</si>
  <si>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</si>
  <si>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</si>
  <si>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Wheat area sown (ha)</t>
  </si>
  <si>
    <t>Wheat produced (t)</t>
  </si>
  <si>
    <t>Wheat receipts ($)</t>
  </si>
  <si>
    <t>Wheat sold (t)</t>
  </si>
  <si>
    <t>EB</t>
  </si>
  <si>
    <t>NU001</t>
  </si>
  <si>
    <t>BN001</t>
  </si>
  <si>
    <t>EJ001</t>
  </si>
  <si>
    <t>ES</t>
  </si>
  <si>
    <t>CH</t>
  </si>
  <si>
    <t>GW</t>
  </si>
  <si>
    <t>AN001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</si>
  <si>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</si>
  <si>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</si>
  <si>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</si>
  <si>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</si>
  <si>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</si>
  <si>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</si>
  <si>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</si>
  <si>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</si>
  <si>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</si>
  <si>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WA001</t>
  </si>
  <si>
    <t>East Beverley</t>
  </si>
  <si>
    <t>Nannup</t>
  </si>
  <si>
    <t>Brookton</t>
  </si>
  <si>
    <t>Ejanding</t>
  </si>
  <si>
    <t>Esperance Downs</t>
  </si>
  <si>
    <t>Chapman</t>
  </si>
  <si>
    <t>Gingin West</t>
  </si>
  <si>
    <t>Allanooka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</si>
  <si>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</si>
  <si>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</si>
  <si>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</si>
  <si>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</si>
  <si>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</si>
  <si>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</si>
  <si>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</si>
  <si>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</si>
  <si>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</si>
  <si>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Wagin</t>
  </si>
  <si>
    <t>Beverley</t>
  </si>
  <si>
    <t>Bridgetown - Boyup Brook</t>
  </si>
  <si>
    <t>Dowerin</t>
  </si>
  <si>
    <t>Esperance</t>
  </si>
  <si>
    <t>Geraldton - North</t>
  </si>
  <si>
    <t>Gingin - Dandaragan</t>
  </si>
  <si>
    <t>Irwin</t>
  </si>
  <si>
    <t>CS</t>
  </si>
  <si>
    <t>CO</t>
  </si>
  <si>
    <t>NE</t>
  </si>
  <si>
    <t>Central and Southern</t>
  </si>
  <si>
    <t>South West Coastal</t>
  </si>
  <si>
    <t>Northern and Eastern</t>
  </si>
  <si>
    <t>Cluster</t>
  </si>
  <si>
    <t>C1</t>
  </si>
  <si>
    <t>C2</t>
  </si>
  <si>
    <t>ProdReal</t>
  </si>
  <si>
    <t>AreaRealHa</t>
  </si>
  <si>
    <t>Business</t>
  </si>
  <si>
    <t>Yield_1</t>
  </si>
  <si>
    <t>Yield_2</t>
  </si>
  <si>
    <t>Gnowangerup</t>
  </si>
  <si>
    <t>GN002</t>
  </si>
  <si>
    <t>Cunderdin</t>
  </si>
  <si>
    <t>TA001</t>
  </si>
  <si>
    <t>Tammin</t>
  </si>
  <si>
    <t>ProdPerBusiness</t>
  </si>
  <si>
    <t>AreaPerBusiness</t>
  </si>
  <si>
    <t>% TargProd</t>
  </si>
  <si>
    <t>% TargArea</t>
  </si>
  <si>
    <t>Wheat AU($/mt)</t>
  </si>
  <si>
    <t>DAP (AU$/mt)</t>
  </si>
  <si>
    <t>TSP (AU$/mt)</t>
  </si>
  <si>
    <t>Urea (AU$/mt)</t>
  </si>
  <si>
    <t>DAP (Qty * ha)</t>
  </si>
  <si>
    <t>Superphosphate (Qty * ha)</t>
  </si>
  <si>
    <t>Urea (Qty * ha)</t>
  </si>
  <si>
    <t>Potassium (Qty * 1ha)</t>
  </si>
  <si>
    <t>Fertiliser$tPerHA</t>
  </si>
  <si>
    <t>Potassium chloride (AU$/mt)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</si>
</sst>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3" borderId="0" xfId="0" applyFill="1"/>
    <xf numFmtId="166" fontId="0" fillId="0" borderId="0" xfId="0" applyNumberFormat="1"/>
    <xf numFmtId="1" fontId="0" fillId="2" borderId="0" xfId="0" applyNumberFormat="1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61"/>
  <sheetViews>
    <sheetView tabSelected="1" workbookViewId="0">
      <selection activeCell="E11" sqref="E11"/>
    </sheetView>
  </sheetViews>
  <sheetFormatPr defaultRowHeight="15" x14ac:dyDescent="0.25"/>
  <cols>
    <col min="2" max="2" width="18.85546875" customWidth="1"/>
    <col min="3" max="5" width="9.140625" customWidth="1"/>
    <col min="6" max="6" width="24.42578125" bestFit="1" customWidth="1"/>
    <col min="7" max="8" width="9.140625" customWidth="1"/>
    <col min="9" max="10" width="9.5703125" customWidth="1"/>
    <col min="11" max="11" width="13.7109375" customWidth="1"/>
    <col min="12" max="13" width="9.5703125" customWidth="1"/>
    <col min="14" max="14" width="10.5703125" customWidth="1"/>
    <col min="15" max="17" width="9.5703125" customWidth="1"/>
    <col min="18" max="18" width="13.7109375" customWidth="1"/>
    <col min="19" max="20" width="9.5703125" customWidth="1"/>
    <col min="21" max="21" width="10.5703125" customWidth="1"/>
    <col min="22" max="24" width="9.5703125" customWidth="1"/>
    <col min="25" max="25" width="13.7109375" customWidth="1"/>
    <col min="26" max="27" width="9.5703125" customWidth="1"/>
    <col min="28" max="28" width="10.5703125" customWidth="1"/>
    <col min="29" max="31" width="9.5703125" customWidth="1"/>
    <col min="32" max="32" width="13.7109375" customWidth="1"/>
    <col min="33" max="34" width="9.5703125" customWidth="1"/>
    <col min="35" max="35" width="10.5703125" customWidth="1"/>
    <col min="36" max="38" width="9.5703125" customWidth="1"/>
    <col min="39" max="39" width="13.7109375" customWidth="1"/>
    <col min="40" max="40" width="9.28515625" customWidth="1"/>
    <col min="41" max="45" width="9.5703125" customWidth="1"/>
    <col min="46" max="46" width="13.7109375" customWidth="1"/>
    <col min="47" max="47" width="9.28515625" customWidth="1"/>
    <col min="48" max="52" width="9.5703125" customWidth="1"/>
    <col min="53" max="53" width="13.7109375" customWidth="1"/>
    <col min="54" max="54" width="9.28515625" customWidth="1"/>
    <col min="55" max="59" width="9.5703125" customWidth="1"/>
    <col min="60" max="60" width="13.7109375" customWidth="1"/>
    <col min="61" max="61" width="9.28515625" customWidth="1"/>
    <col min="62" max="66" width="9.5703125" customWidth="1"/>
    <col min="67" max="67" width="13.7109375" customWidth="1"/>
    <col min="68" max="69" width="9.5703125" customWidth="1"/>
    <col min="70" max="70" width="10.5703125" customWidth="1"/>
    <col min="71" max="71" width="9.5703125" customWidth="1"/>
    <col min="72" max="72" width="28.140625" customWidth="1"/>
    <col min="73" max="73" width="9.5703125" customWidth="1"/>
    <col min="74" max="74" width="13.7109375" customWidth="1"/>
    <col min="75" max="76" width="9.5703125" customWidth="1"/>
    <col min="77" max="77" width="10.5703125" customWidth="1"/>
    <col min="78" max="80" width="9.5703125" customWidth="1"/>
    <col min="81" max="81" width="13.7109375" customWidth="1"/>
    <col min="82" max="83" width="9.5703125" customWidth="1"/>
    <col min="84" max="84" width="10.5703125" customWidth="1"/>
    <col min="85" max="87" width="9.5703125" customWidth="1"/>
    <col min="88" max="88" width="13.7109375" customWidth="1"/>
    <col min="89" max="90" width="9.5703125" customWidth="1"/>
    <col min="91" max="91" width="10.5703125" customWidth="1"/>
    <col min="92" max="92" width="9.5703125" customWidth="1"/>
    <col min="94" max="94" width="20.140625" customWidth="1"/>
    <col min="95" max="95" width="17.42578125" customWidth="1"/>
    <col min="96" max="96" width="16.85546875" customWidth="1"/>
    <col min="97" max="97" width="10.5703125" bestFit="1" customWidth="1"/>
    <col min="98" max="98" width="25.28515625" customWidth="1"/>
    <col min="99" max="99" width="14" customWidth="1"/>
    <col min="100" max="100" width="25.42578125" customWidth="1"/>
    <col min="101" max="101" width="19.85546875" customWidth="1"/>
    <col min="102" max="102" width="20" customWidth="1"/>
    <col min="103" max="103" width="16.42578125" customWidth="1"/>
    <col min="104" max="104" width="17.85546875" customWidth="1"/>
    <col min="105" max="105" width="19.28515625" customWidth="1"/>
    <col min="106" max="106" width="19.42578125" customWidth="1"/>
    <col min="107" max="107" width="17.140625" customWidth="1"/>
    <col min="108" max="108" width="9.140625" customWidth="1"/>
    <col min="110" max="110" width="9.7109375" customWidth="1"/>
    <col min="111" max="111" width="18" customWidth="1"/>
    <col min="114" max="114" width="17.5703125" customWidth="1"/>
    <col min="115" max="115" width="19" customWidth="1"/>
    <col min="116" max="116" width="11.28515625" customWidth="1"/>
    <col min="117" max="117" width="21.570312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P1" s="6" t="s">
        <v>162</v>
      </c>
      <c r="CQ1" s="9" t="s">
        <v>163</v>
      </c>
      <c r="CR1" s="9" t="s">
        <v>164</v>
      </c>
      <c r="CS1" s="9" t="s">
        <v>165</v>
      </c>
      <c r="CT1" s="9" t="s">
        <v>171</v>
      </c>
      <c r="CU1" s="10" t="s">
        <v>166</v>
      </c>
      <c r="CV1" s="10" t="s">
        <v>167</v>
      </c>
      <c r="CW1" s="10" t="s">
        <v>168</v>
      </c>
      <c r="CX1" s="10" t="s">
        <v>169</v>
      </c>
      <c r="CY1" s="6" t="s">
        <v>170</v>
      </c>
      <c r="CZ1" s="4" t="s">
        <v>93</v>
      </c>
      <c r="DA1" s="4" t="s">
        <v>92</v>
      </c>
      <c r="DB1" s="4" t="s">
        <v>94</v>
      </c>
      <c r="DC1" s="4" t="s">
        <v>95</v>
      </c>
      <c r="DD1" s="4" t="s">
        <v>151</v>
      </c>
      <c r="DE1" s="4" t="s">
        <v>145</v>
      </c>
      <c r="DF1" s="4" t="s">
        <v>148</v>
      </c>
      <c r="DG1" s="4" t="s">
        <v>149</v>
      </c>
      <c r="DH1" s="4" t="s">
        <v>150</v>
      </c>
      <c r="DI1" s="4" t="s">
        <v>152</v>
      </c>
      <c r="DJ1" s="4" t="s">
        <v>160</v>
      </c>
      <c r="DK1" s="4" t="s">
        <v>158</v>
      </c>
      <c r="DL1" s="4" t="s">
        <v>161</v>
      </c>
      <c r="DM1" s="4" t="s">
        <v>159</v>
      </c>
    </row>
    <row r="2" spans="1:117" x14ac:dyDescent="0.25">
      <c r="A2" t="s">
        <v>96</v>
      </c>
      <c r="B2" t="s">
        <v>114</v>
      </c>
      <c r="C2">
        <v>117.173785</v>
      </c>
      <c r="D2">
        <v>-32.142505</v>
      </c>
      <c r="E2">
        <v>2013</v>
      </c>
      <c r="F2" t="s">
        <v>132</v>
      </c>
      <c r="G2" t="s">
        <v>139</v>
      </c>
      <c r="H2" t="s">
        <v>142</v>
      </c>
      <c r="I2">
        <v>24.5</v>
      </c>
      <c r="J2">
        <v>39.200000000000003</v>
      </c>
      <c r="K2">
        <v>928875.6</v>
      </c>
      <c r="L2">
        <v>13.71</v>
      </c>
      <c r="M2">
        <v>29.5</v>
      </c>
      <c r="N2">
        <v>305.60000000000002</v>
      </c>
      <c r="O2">
        <v>50.3</v>
      </c>
      <c r="P2">
        <v>25</v>
      </c>
      <c r="Q2">
        <v>0.2</v>
      </c>
      <c r="R2">
        <v>813625.3</v>
      </c>
      <c r="S2">
        <v>12.91</v>
      </c>
      <c r="T2">
        <v>30.7</v>
      </c>
      <c r="U2">
        <v>282</v>
      </c>
      <c r="V2">
        <v>43.6</v>
      </c>
      <c r="W2">
        <v>19.8</v>
      </c>
      <c r="X2">
        <v>64.8</v>
      </c>
      <c r="Y2">
        <v>647110.40000000002</v>
      </c>
      <c r="Z2">
        <v>11.18</v>
      </c>
      <c r="AA2">
        <v>25.6</v>
      </c>
      <c r="AB2">
        <v>191.4</v>
      </c>
      <c r="AC2">
        <v>62.4</v>
      </c>
      <c r="AD2">
        <v>20</v>
      </c>
      <c r="AE2">
        <v>4.8</v>
      </c>
      <c r="AF2">
        <v>436686.4</v>
      </c>
      <c r="AG2">
        <v>8.5</v>
      </c>
      <c r="AH2">
        <v>23.1</v>
      </c>
      <c r="AI2">
        <v>135.19999999999999</v>
      </c>
      <c r="AJ2">
        <v>63.1</v>
      </c>
      <c r="AK2">
        <v>13.3</v>
      </c>
      <c r="AL2">
        <v>45.8</v>
      </c>
      <c r="AM2">
        <v>360572.4</v>
      </c>
      <c r="AN2">
        <v>9.2899999999999991</v>
      </c>
      <c r="AO2">
        <v>16.600000000000001</v>
      </c>
      <c r="AP2">
        <v>83.9</v>
      </c>
      <c r="AQ2">
        <v>75.8</v>
      </c>
      <c r="AR2">
        <v>10</v>
      </c>
      <c r="AS2">
        <v>15.2</v>
      </c>
      <c r="AT2">
        <v>320092.3</v>
      </c>
      <c r="AU2">
        <v>7.73</v>
      </c>
      <c r="AV2">
        <v>13.3</v>
      </c>
      <c r="AW2">
        <v>62.6</v>
      </c>
      <c r="AX2">
        <v>79.8</v>
      </c>
      <c r="AY2">
        <v>9.6</v>
      </c>
      <c r="AZ2">
        <v>69.2</v>
      </c>
      <c r="BA2">
        <v>333611.8</v>
      </c>
      <c r="BB2">
        <v>9.6300000000000008</v>
      </c>
      <c r="BC2">
        <v>11.9</v>
      </c>
      <c r="BD2">
        <v>69.7</v>
      </c>
      <c r="BE2">
        <v>78.099999999999994</v>
      </c>
      <c r="BF2">
        <v>11.8</v>
      </c>
      <c r="BG2">
        <v>58</v>
      </c>
      <c r="BH2">
        <v>427188</v>
      </c>
      <c r="BI2">
        <v>10.53</v>
      </c>
      <c r="BJ2">
        <v>13.5</v>
      </c>
      <c r="BK2">
        <v>84.7</v>
      </c>
      <c r="BL2">
        <v>82.4</v>
      </c>
      <c r="BM2">
        <v>12.5</v>
      </c>
      <c r="BN2">
        <v>69.400000000000006</v>
      </c>
      <c r="BO2">
        <v>521779.9</v>
      </c>
      <c r="BP2">
        <v>12.38</v>
      </c>
      <c r="BQ2">
        <v>14.2</v>
      </c>
      <c r="BR2">
        <v>110.2</v>
      </c>
      <c r="BS2">
        <v>80</v>
      </c>
      <c r="BT2">
        <v>15.3</v>
      </c>
      <c r="BU2">
        <v>25.6</v>
      </c>
      <c r="BV2">
        <v>760246.9</v>
      </c>
      <c r="BW2">
        <v>10.57</v>
      </c>
      <c r="BX2">
        <v>17.7</v>
      </c>
      <c r="BY2">
        <v>193.1</v>
      </c>
      <c r="BZ2">
        <v>67.7</v>
      </c>
      <c r="CA2">
        <v>21.4</v>
      </c>
      <c r="CB2">
        <v>14.8</v>
      </c>
      <c r="CC2">
        <v>832140.1</v>
      </c>
      <c r="CD2">
        <v>13.62</v>
      </c>
      <c r="CE2">
        <v>27.6</v>
      </c>
      <c r="CF2">
        <v>268.3</v>
      </c>
      <c r="CG2">
        <v>48.9</v>
      </c>
      <c r="CH2">
        <v>23.1</v>
      </c>
      <c r="CI2">
        <v>8.4</v>
      </c>
      <c r="CJ2">
        <v>831607.6</v>
      </c>
      <c r="CK2">
        <v>12.08</v>
      </c>
      <c r="CL2">
        <v>5.2</v>
      </c>
      <c r="CM2">
        <v>279.8</v>
      </c>
      <c r="CN2">
        <v>43</v>
      </c>
      <c r="CP2" s="3">
        <v>344.25478384166667</v>
      </c>
      <c r="CQ2" s="3">
        <v>485.1324771412531</v>
      </c>
      <c r="CR2" s="3">
        <v>453.99912920229173</v>
      </c>
      <c r="CS2" s="3">
        <v>379.15555696741984</v>
      </c>
      <c r="CT2" s="3">
        <v>431.36433691804177</v>
      </c>
      <c r="CU2" s="7">
        <v>0.06</v>
      </c>
      <c r="CV2" s="7">
        <v>0.14000000000000001</v>
      </c>
      <c r="CW2" s="7">
        <v>7.0000000000000007E-2</v>
      </c>
      <c r="CX2" s="7">
        <v>0.04</v>
      </c>
      <c r="CY2" s="3">
        <f t="shared" ref="CY2:CY9" si="0">+CQ2*CU2+CR2*CV2+CS2*CW2+CT2*CX2</f>
        <v>136.46328918123712</v>
      </c>
      <c r="CZ2">
        <v>1016</v>
      </c>
      <c r="DA2">
        <v>696</v>
      </c>
      <c r="DB2">
        <v>453990</v>
      </c>
      <c r="DC2">
        <v>1009</v>
      </c>
      <c r="DE2" t="s">
        <v>146</v>
      </c>
      <c r="DK2" s="5">
        <v>823.3807661383737</v>
      </c>
      <c r="DM2" s="5">
        <v>556.16464445794406</v>
      </c>
    </row>
    <row r="3" spans="1:117" x14ac:dyDescent="0.25">
      <c r="A3" t="s">
        <v>96</v>
      </c>
      <c r="B3" t="s">
        <v>114</v>
      </c>
      <c r="C3">
        <v>117.173785</v>
      </c>
      <c r="D3">
        <v>-32.142505</v>
      </c>
      <c r="E3">
        <v>2014</v>
      </c>
      <c r="F3" t="s">
        <v>132</v>
      </c>
      <c r="G3" t="s">
        <v>139</v>
      </c>
      <c r="H3" t="s">
        <v>142</v>
      </c>
      <c r="I3">
        <v>26.5</v>
      </c>
      <c r="J3">
        <v>0.4</v>
      </c>
      <c r="K3">
        <v>550024.6</v>
      </c>
      <c r="L3">
        <v>13.99</v>
      </c>
      <c r="M3">
        <v>33.5</v>
      </c>
      <c r="N3">
        <v>200.2</v>
      </c>
      <c r="O3">
        <v>43.3</v>
      </c>
      <c r="P3">
        <v>24.3</v>
      </c>
      <c r="Q3">
        <v>0</v>
      </c>
      <c r="R3">
        <v>673349.6</v>
      </c>
      <c r="S3">
        <v>13.88</v>
      </c>
      <c r="T3">
        <v>31.4</v>
      </c>
      <c r="U3">
        <v>242.2</v>
      </c>
      <c r="V3">
        <v>43.3</v>
      </c>
      <c r="W3">
        <v>22.6</v>
      </c>
      <c r="X3">
        <v>43.8</v>
      </c>
      <c r="Y3">
        <v>567059</v>
      </c>
      <c r="Z3">
        <v>10.99</v>
      </c>
      <c r="AA3">
        <v>27.3</v>
      </c>
      <c r="AB3">
        <v>200.2</v>
      </c>
      <c r="AC3">
        <v>51.2</v>
      </c>
      <c r="AD3">
        <v>18.2</v>
      </c>
      <c r="AE3">
        <v>64.400000000000006</v>
      </c>
      <c r="AF3">
        <v>417082.7</v>
      </c>
      <c r="AG3">
        <v>5.68</v>
      </c>
      <c r="AH3">
        <v>21</v>
      </c>
      <c r="AI3">
        <v>115.6</v>
      </c>
      <c r="AJ3">
        <v>62.1</v>
      </c>
      <c r="AK3">
        <v>14.6</v>
      </c>
      <c r="AL3">
        <v>66.599999999999994</v>
      </c>
      <c r="AM3">
        <v>264782.3</v>
      </c>
      <c r="AN3">
        <v>4.13</v>
      </c>
      <c r="AO3">
        <v>15.7</v>
      </c>
      <c r="AP3">
        <v>49.8</v>
      </c>
      <c r="AQ3">
        <v>83.9</v>
      </c>
      <c r="AR3">
        <v>10.5</v>
      </c>
      <c r="AS3">
        <v>31.2</v>
      </c>
      <c r="AT3">
        <v>253279.1</v>
      </c>
      <c r="AU3">
        <v>6.37</v>
      </c>
      <c r="AV3">
        <v>11.5</v>
      </c>
      <c r="AW3">
        <v>48.4</v>
      </c>
      <c r="AX3">
        <v>80</v>
      </c>
      <c r="AY3">
        <v>10.9</v>
      </c>
      <c r="AZ3">
        <v>81.599999999999994</v>
      </c>
      <c r="BA3">
        <v>274954.3</v>
      </c>
      <c r="BB3">
        <v>8.39</v>
      </c>
      <c r="BC3">
        <v>11.5</v>
      </c>
      <c r="BD3">
        <v>54.8</v>
      </c>
      <c r="BE3">
        <v>82.9</v>
      </c>
      <c r="BF3">
        <v>12.3</v>
      </c>
      <c r="BG3">
        <v>51.8</v>
      </c>
      <c r="BH3">
        <v>368897.4</v>
      </c>
      <c r="BI3">
        <v>6.65</v>
      </c>
      <c r="BJ3">
        <v>13.1</v>
      </c>
      <c r="BK3">
        <v>76.2</v>
      </c>
      <c r="BL3">
        <v>80.5</v>
      </c>
      <c r="BM3">
        <v>13.9</v>
      </c>
      <c r="BN3">
        <v>45</v>
      </c>
      <c r="BO3">
        <v>462621.4</v>
      </c>
      <c r="BP3">
        <v>7.99</v>
      </c>
      <c r="BQ3">
        <v>15.5</v>
      </c>
      <c r="BR3">
        <v>101.5</v>
      </c>
      <c r="BS3">
        <v>78</v>
      </c>
      <c r="BT3">
        <v>17.100000000000001</v>
      </c>
      <c r="BU3">
        <v>48.4</v>
      </c>
      <c r="BV3">
        <v>611725.6</v>
      </c>
      <c r="BW3">
        <v>8.43</v>
      </c>
      <c r="BX3">
        <v>20.3</v>
      </c>
      <c r="BY3">
        <v>159.69999999999999</v>
      </c>
      <c r="BZ3">
        <v>64.900000000000006</v>
      </c>
      <c r="CA3">
        <v>19.899999999999999</v>
      </c>
      <c r="CB3">
        <v>14.4</v>
      </c>
      <c r="CC3">
        <v>711068</v>
      </c>
      <c r="CD3">
        <v>10.27</v>
      </c>
      <c r="CE3">
        <v>26.8</v>
      </c>
      <c r="CF3">
        <v>218.9</v>
      </c>
      <c r="CG3">
        <v>51.8</v>
      </c>
      <c r="CH3">
        <v>22.2</v>
      </c>
      <c r="CI3">
        <v>0</v>
      </c>
      <c r="CJ3">
        <v>823882.5</v>
      </c>
      <c r="CK3">
        <v>11.82</v>
      </c>
      <c r="CL3">
        <v>31.7</v>
      </c>
      <c r="CM3">
        <v>270.2</v>
      </c>
      <c r="CN3">
        <v>45</v>
      </c>
      <c r="CP3" s="3">
        <v>283.32452813333333</v>
      </c>
      <c r="CQ3" s="3">
        <v>368.2939243092531</v>
      </c>
      <c r="CR3" s="3">
        <v>330.59328943508331</v>
      </c>
      <c r="CS3" s="3">
        <v>279.4513129062604</v>
      </c>
      <c r="CT3" s="3">
        <v>325.40383910199995</v>
      </c>
      <c r="CU3" s="7">
        <v>0.06</v>
      </c>
      <c r="CV3" s="7">
        <v>0.14000000000000001</v>
      </c>
      <c r="CW3" s="7">
        <v>7.0000000000000007E-2</v>
      </c>
      <c r="CX3" s="7">
        <v>0.04</v>
      </c>
      <c r="CY3" s="3">
        <f t="shared" si="0"/>
        <v>100.95844144698508</v>
      </c>
      <c r="CZ3">
        <v>1638</v>
      </c>
      <c r="DA3">
        <v>683</v>
      </c>
      <c r="DB3">
        <v>566200</v>
      </c>
      <c r="DC3">
        <v>1514</v>
      </c>
      <c r="DE3" t="s">
        <v>146</v>
      </c>
      <c r="DK3" s="5">
        <v>1327.4583611561577</v>
      </c>
      <c r="DM3" s="5">
        <v>545.77651173099969</v>
      </c>
    </row>
    <row r="4" spans="1:117" x14ac:dyDescent="0.25">
      <c r="A4" t="s">
        <v>96</v>
      </c>
      <c r="B4" t="s">
        <v>114</v>
      </c>
      <c r="C4">
        <v>117.173785</v>
      </c>
      <c r="D4">
        <v>-32.142505</v>
      </c>
      <c r="E4">
        <v>2015</v>
      </c>
      <c r="F4" t="s">
        <v>132</v>
      </c>
      <c r="G4" t="s">
        <v>139</v>
      </c>
      <c r="H4" t="s">
        <v>142</v>
      </c>
      <c r="I4">
        <v>26.4</v>
      </c>
      <c r="J4">
        <v>8.8000000000000007</v>
      </c>
      <c r="K4">
        <v>265178.90000000002</v>
      </c>
      <c r="L4">
        <v>12.46</v>
      </c>
      <c r="M4">
        <v>26.2</v>
      </c>
      <c r="N4">
        <v>102.8</v>
      </c>
      <c r="O4">
        <v>38.4</v>
      </c>
      <c r="P4">
        <v>25.9</v>
      </c>
      <c r="Q4">
        <v>1.8</v>
      </c>
      <c r="R4">
        <v>709138</v>
      </c>
      <c r="S4">
        <v>11.41</v>
      </c>
      <c r="T4">
        <v>33.200000000000003</v>
      </c>
      <c r="U4">
        <v>248.8</v>
      </c>
      <c r="V4">
        <v>45.1</v>
      </c>
      <c r="W4">
        <v>21.3</v>
      </c>
      <c r="X4">
        <v>34.4</v>
      </c>
      <c r="Y4">
        <v>672165.4</v>
      </c>
      <c r="Z4">
        <v>10.67</v>
      </c>
      <c r="AA4">
        <v>26.4</v>
      </c>
      <c r="AB4">
        <v>210.7</v>
      </c>
      <c r="AC4">
        <v>56.8</v>
      </c>
      <c r="AD4">
        <v>16.7</v>
      </c>
      <c r="AE4">
        <v>30.4</v>
      </c>
      <c r="AF4">
        <v>465792.3</v>
      </c>
      <c r="AG4">
        <v>9.24</v>
      </c>
      <c r="AH4">
        <v>20.2</v>
      </c>
      <c r="AI4">
        <v>131.80000000000001</v>
      </c>
      <c r="AJ4">
        <v>64.3</v>
      </c>
      <c r="AK4">
        <v>12.4</v>
      </c>
      <c r="AL4">
        <v>21</v>
      </c>
      <c r="AM4">
        <v>403099.2</v>
      </c>
      <c r="AN4">
        <v>7.4</v>
      </c>
      <c r="AO4">
        <v>15.1</v>
      </c>
      <c r="AP4">
        <v>98.8</v>
      </c>
      <c r="AQ4">
        <v>70.2</v>
      </c>
      <c r="AR4">
        <v>12</v>
      </c>
      <c r="AS4">
        <v>26</v>
      </c>
      <c r="AT4">
        <v>311783.3</v>
      </c>
      <c r="AU4">
        <v>7.58</v>
      </c>
      <c r="AV4">
        <v>13.3</v>
      </c>
      <c r="AW4">
        <v>70</v>
      </c>
      <c r="AX4">
        <v>77.8</v>
      </c>
      <c r="AY4">
        <v>11.1</v>
      </c>
      <c r="AZ4">
        <v>41.4</v>
      </c>
      <c r="BA4">
        <v>296987.3</v>
      </c>
      <c r="BB4">
        <v>6.8</v>
      </c>
      <c r="BC4">
        <v>12.5</v>
      </c>
      <c r="BD4">
        <v>65.400000000000006</v>
      </c>
      <c r="BE4">
        <v>78.900000000000006</v>
      </c>
      <c r="BF4">
        <v>11.1</v>
      </c>
      <c r="BG4">
        <v>85.2</v>
      </c>
      <c r="BH4">
        <v>404544.6</v>
      </c>
      <c r="BI4">
        <v>7.28</v>
      </c>
      <c r="BJ4">
        <v>12.9</v>
      </c>
      <c r="BK4">
        <v>76.7</v>
      </c>
      <c r="BL4">
        <v>82.2</v>
      </c>
      <c r="BM4">
        <v>12.5</v>
      </c>
      <c r="BN4">
        <v>14.4</v>
      </c>
      <c r="BO4">
        <v>616253.1</v>
      </c>
      <c r="BP4">
        <v>7.47</v>
      </c>
      <c r="BQ4">
        <v>14.6</v>
      </c>
      <c r="BR4">
        <v>146.6</v>
      </c>
      <c r="BS4">
        <v>68.3</v>
      </c>
      <c r="BT4">
        <v>18.899999999999999</v>
      </c>
      <c r="BU4">
        <v>21.2</v>
      </c>
      <c r="BV4">
        <v>695105</v>
      </c>
      <c r="BW4">
        <v>9.01</v>
      </c>
      <c r="BX4">
        <v>23.5</v>
      </c>
      <c r="BY4">
        <v>201.3</v>
      </c>
      <c r="BZ4">
        <v>55.7</v>
      </c>
      <c r="CA4">
        <v>21.7</v>
      </c>
      <c r="CB4">
        <v>8.4</v>
      </c>
      <c r="CC4">
        <v>862444.1</v>
      </c>
      <c r="CD4">
        <v>11.17</v>
      </c>
      <c r="CE4">
        <v>28.7</v>
      </c>
      <c r="CF4">
        <v>266.39999999999998</v>
      </c>
      <c r="CG4">
        <v>49.4</v>
      </c>
      <c r="CH4">
        <v>22.8</v>
      </c>
      <c r="CI4">
        <v>20</v>
      </c>
      <c r="CJ4">
        <v>961990.3</v>
      </c>
      <c r="CK4">
        <v>12.76</v>
      </c>
      <c r="CL4">
        <v>31.1</v>
      </c>
      <c r="CM4">
        <v>313.5</v>
      </c>
      <c r="CN4">
        <v>43.3</v>
      </c>
      <c r="CP4" s="3">
        <v>204.8839893083333</v>
      </c>
      <c r="CQ4" s="3">
        <v>357.71587473362189</v>
      </c>
      <c r="CR4" s="3">
        <v>322.98543302087501</v>
      </c>
      <c r="CS4" s="3">
        <v>251.33925340010413</v>
      </c>
      <c r="CT4" s="3">
        <v>238.07175714163543</v>
      </c>
      <c r="CU4" s="7">
        <v>0.06</v>
      </c>
      <c r="CV4" s="7">
        <v>0.14000000000000001</v>
      </c>
      <c r="CW4" s="7">
        <v>7.0000000000000007E-2</v>
      </c>
      <c r="CX4" s="7">
        <v>0.04</v>
      </c>
      <c r="CY4" s="3">
        <f t="shared" si="0"/>
        <v>93.797531130612526</v>
      </c>
      <c r="CZ4">
        <v>1468</v>
      </c>
      <c r="DA4">
        <v>695</v>
      </c>
      <c r="DB4">
        <v>628010</v>
      </c>
      <c r="DC4">
        <v>1524</v>
      </c>
      <c r="DE4" t="s">
        <v>146</v>
      </c>
      <c r="DK4" s="5">
        <v>1189.6879573731619</v>
      </c>
      <c r="DM4" s="5">
        <v>555.36555732510215</v>
      </c>
    </row>
    <row r="5" spans="1:117" x14ac:dyDescent="0.25">
      <c r="A5" t="s">
        <v>96</v>
      </c>
      <c r="B5" t="s">
        <v>114</v>
      </c>
      <c r="C5">
        <v>117.173785</v>
      </c>
      <c r="D5">
        <v>-32.142505</v>
      </c>
      <c r="E5">
        <v>2016</v>
      </c>
      <c r="F5" t="s">
        <v>132</v>
      </c>
      <c r="G5" t="s">
        <v>139</v>
      </c>
      <c r="H5" t="s">
        <v>142</v>
      </c>
      <c r="I5">
        <v>24</v>
      </c>
      <c r="J5">
        <v>63.8</v>
      </c>
      <c r="K5">
        <v>785330.7</v>
      </c>
      <c r="L5">
        <v>13.05</v>
      </c>
      <c r="M5">
        <v>30</v>
      </c>
      <c r="N5">
        <v>267.8</v>
      </c>
      <c r="O5">
        <v>53.6</v>
      </c>
      <c r="P5">
        <v>24.3</v>
      </c>
      <c r="Q5">
        <v>0</v>
      </c>
      <c r="R5">
        <v>854380.6</v>
      </c>
      <c r="S5">
        <v>12.78</v>
      </c>
      <c r="T5">
        <v>30.5</v>
      </c>
      <c r="U5">
        <v>287.7</v>
      </c>
      <c r="V5">
        <v>43.1</v>
      </c>
      <c r="W5">
        <v>22.2</v>
      </c>
      <c r="X5">
        <v>35.799999999999997</v>
      </c>
      <c r="Y5">
        <v>607131.6</v>
      </c>
      <c r="Z5">
        <v>12.39</v>
      </c>
      <c r="AA5">
        <v>27.5</v>
      </c>
      <c r="AB5">
        <v>202.7</v>
      </c>
      <c r="AC5">
        <v>58.4</v>
      </c>
      <c r="AD5">
        <v>17.600000000000001</v>
      </c>
      <c r="AE5">
        <v>64.2</v>
      </c>
      <c r="AF5">
        <v>410411.3</v>
      </c>
      <c r="AG5">
        <v>8.31</v>
      </c>
      <c r="AH5">
        <v>20.100000000000001</v>
      </c>
      <c r="AI5">
        <v>107</v>
      </c>
      <c r="AJ5">
        <v>73</v>
      </c>
      <c r="AK5">
        <v>12.5</v>
      </c>
      <c r="AL5">
        <v>41.2</v>
      </c>
      <c r="AM5">
        <v>366411.6</v>
      </c>
      <c r="AN5">
        <v>6.79</v>
      </c>
      <c r="AO5">
        <v>14.3</v>
      </c>
      <c r="AP5">
        <v>74.599999999999994</v>
      </c>
      <c r="AQ5">
        <v>81.3</v>
      </c>
      <c r="AR5">
        <v>10.5</v>
      </c>
      <c r="AS5">
        <v>26.8</v>
      </c>
      <c r="AT5">
        <v>299116.79999999999</v>
      </c>
      <c r="AU5">
        <v>7.29</v>
      </c>
      <c r="AV5">
        <v>11.9</v>
      </c>
      <c r="AW5">
        <v>55.6</v>
      </c>
      <c r="AX5">
        <v>82.3</v>
      </c>
      <c r="AY5">
        <v>9.1</v>
      </c>
      <c r="AZ5">
        <v>64.2</v>
      </c>
      <c r="BA5">
        <v>348763.4</v>
      </c>
      <c r="BB5">
        <v>8.07</v>
      </c>
      <c r="BC5">
        <v>10.8</v>
      </c>
      <c r="BD5">
        <v>67.2</v>
      </c>
      <c r="BE5">
        <v>81.900000000000006</v>
      </c>
      <c r="BF5">
        <v>9.5</v>
      </c>
      <c r="BG5">
        <v>55.8</v>
      </c>
      <c r="BH5">
        <v>398733.2</v>
      </c>
      <c r="BI5">
        <v>8.25</v>
      </c>
      <c r="BJ5">
        <v>11.5</v>
      </c>
      <c r="BK5">
        <v>74.900000000000006</v>
      </c>
      <c r="BL5">
        <v>82.5</v>
      </c>
      <c r="BM5">
        <v>9.9</v>
      </c>
      <c r="BN5">
        <v>25.8</v>
      </c>
      <c r="BO5">
        <v>549363</v>
      </c>
      <c r="BP5">
        <v>8.4700000000000006</v>
      </c>
      <c r="BQ5">
        <v>13.2</v>
      </c>
      <c r="BR5">
        <v>110.6</v>
      </c>
      <c r="BS5">
        <v>76.599999999999994</v>
      </c>
      <c r="BT5">
        <v>14.4</v>
      </c>
      <c r="BU5">
        <v>5.4</v>
      </c>
      <c r="BV5">
        <v>796803.2</v>
      </c>
      <c r="BW5">
        <v>10.73</v>
      </c>
      <c r="BX5">
        <v>19</v>
      </c>
      <c r="BY5">
        <v>205.4</v>
      </c>
      <c r="BZ5">
        <v>61.2</v>
      </c>
      <c r="CA5">
        <v>20.399999999999999</v>
      </c>
      <c r="CB5">
        <v>5.4</v>
      </c>
      <c r="CC5">
        <v>917524.1</v>
      </c>
      <c r="CD5">
        <v>10.4</v>
      </c>
      <c r="CE5">
        <v>27.3</v>
      </c>
      <c r="CF5">
        <v>281.8</v>
      </c>
      <c r="CG5">
        <v>43.6</v>
      </c>
      <c r="CH5">
        <v>21.7</v>
      </c>
      <c r="CI5">
        <v>4.4000000000000004</v>
      </c>
      <c r="CJ5">
        <v>978189.9</v>
      </c>
      <c r="CK5">
        <v>12.87</v>
      </c>
      <c r="CL5">
        <v>25.6</v>
      </c>
      <c r="CM5">
        <v>309.7</v>
      </c>
      <c r="CN5">
        <v>45.6</v>
      </c>
      <c r="CP5" s="3">
        <v>133.12695639999998</v>
      </c>
      <c r="CQ5" s="3">
        <v>265.94031967119787</v>
      </c>
      <c r="CR5" s="3">
        <v>244.36784107392498</v>
      </c>
      <c r="CS5" s="3">
        <v>168.48709864302083</v>
      </c>
      <c r="CT5" s="3">
        <v>219.627445633875</v>
      </c>
      <c r="CU5" s="7">
        <v>0.06</v>
      </c>
      <c r="CV5" s="7">
        <v>0.14000000000000001</v>
      </c>
      <c r="CW5" s="7">
        <v>7.0000000000000007E-2</v>
      </c>
      <c r="CX5" s="7">
        <v>0.04</v>
      </c>
      <c r="CY5" s="3">
        <f t="shared" si="0"/>
        <v>70.747111660987827</v>
      </c>
      <c r="CZ5">
        <v>1426</v>
      </c>
      <c r="DA5">
        <v>702</v>
      </c>
      <c r="DB5">
        <v>459370</v>
      </c>
      <c r="DC5">
        <v>1326</v>
      </c>
      <c r="DE5" t="s">
        <v>146</v>
      </c>
      <c r="DK5" s="5">
        <v>1155.650563497363</v>
      </c>
      <c r="DM5" s="5">
        <v>560.95916725499524</v>
      </c>
    </row>
    <row r="6" spans="1:117" x14ac:dyDescent="0.25">
      <c r="A6" t="s">
        <v>96</v>
      </c>
      <c r="B6" t="s">
        <v>114</v>
      </c>
      <c r="C6">
        <v>117.173785</v>
      </c>
      <c r="D6">
        <v>-32.142505</v>
      </c>
      <c r="E6">
        <v>2017</v>
      </c>
      <c r="F6" t="s">
        <v>132</v>
      </c>
      <c r="G6" t="s">
        <v>139</v>
      </c>
      <c r="H6" t="s">
        <v>142</v>
      </c>
      <c r="I6">
        <v>24.2</v>
      </c>
      <c r="J6">
        <v>46</v>
      </c>
      <c r="K6">
        <v>946324</v>
      </c>
      <c r="L6">
        <v>11.66</v>
      </c>
      <c r="M6">
        <v>32.4</v>
      </c>
      <c r="N6">
        <v>322.5</v>
      </c>
      <c r="O6">
        <v>42.7</v>
      </c>
      <c r="P6">
        <v>22</v>
      </c>
      <c r="Q6">
        <v>118.4</v>
      </c>
      <c r="R6">
        <v>665506.6</v>
      </c>
      <c r="S6">
        <v>12.54</v>
      </c>
      <c r="T6">
        <v>24.8</v>
      </c>
      <c r="U6">
        <v>186.1</v>
      </c>
      <c r="V6">
        <v>63.6</v>
      </c>
      <c r="W6">
        <v>20.5</v>
      </c>
      <c r="X6">
        <v>18.399999999999999</v>
      </c>
      <c r="Y6">
        <v>668682.80000000005</v>
      </c>
      <c r="Z6">
        <v>11</v>
      </c>
      <c r="AA6">
        <v>26</v>
      </c>
      <c r="AB6">
        <v>201.8</v>
      </c>
      <c r="AC6">
        <v>59.4</v>
      </c>
      <c r="AD6">
        <v>17.3</v>
      </c>
      <c r="AE6">
        <v>0.6</v>
      </c>
      <c r="AF6">
        <v>529224</v>
      </c>
      <c r="AG6">
        <v>7.21</v>
      </c>
      <c r="AH6">
        <v>22.7</v>
      </c>
      <c r="AI6">
        <v>147.1</v>
      </c>
      <c r="AJ6">
        <v>61</v>
      </c>
      <c r="AK6">
        <v>14.1</v>
      </c>
      <c r="AL6">
        <v>19.2</v>
      </c>
      <c r="AM6">
        <v>383716.3</v>
      </c>
      <c r="AN6">
        <v>6.7</v>
      </c>
      <c r="AO6">
        <v>17.600000000000001</v>
      </c>
      <c r="AP6">
        <v>95.6</v>
      </c>
      <c r="AQ6">
        <v>69.7</v>
      </c>
      <c r="AR6">
        <v>11.8</v>
      </c>
      <c r="AS6">
        <v>14.4</v>
      </c>
      <c r="AT6">
        <v>324806.90000000002</v>
      </c>
      <c r="AU6">
        <v>6.21</v>
      </c>
      <c r="AV6">
        <v>14.3</v>
      </c>
      <c r="AW6">
        <v>77.2</v>
      </c>
      <c r="AX6">
        <v>70.599999999999994</v>
      </c>
      <c r="AY6">
        <v>11.1</v>
      </c>
      <c r="AZ6">
        <v>66.400000000000006</v>
      </c>
      <c r="BA6">
        <v>312977.5</v>
      </c>
      <c r="BB6">
        <v>9</v>
      </c>
      <c r="BC6">
        <v>11.9</v>
      </c>
      <c r="BD6">
        <v>62.8</v>
      </c>
      <c r="BE6">
        <v>81.900000000000006</v>
      </c>
      <c r="BF6">
        <v>11.2</v>
      </c>
      <c r="BG6">
        <v>67</v>
      </c>
      <c r="BH6">
        <v>402511.1</v>
      </c>
      <c r="BI6">
        <v>8.59</v>
      </c>
      <c r="BJ6">
        <v>12.4</v>
      </c>
      <c r="BK6">
        <v>78.2</v>
      </c>
      <c r="BL6">
        <v>81.2</v>
      </c>
      <c r="BM6">
        <v>12.8</v>
      </c>
      <c r="BN6">
        <v>33</v>
      </c>
      <c r="BO6">
        <v>508228.9</v>
      </c>
      <c r="BP6">
        <v>7.16</v>
      </c>
      <c r="BQ6">
        <v>15.1</v>
      </c>
      <c r="BR6">
        <v>108.1</v>
      </c>
      <c r="BS6">
        <v>74.599999999999994</v>
      </c>
      <c r="BT6">
        <v>15.7</v>
      </c>
      <c r="BU6">
        <v>21.6</v>
      </c>
      <c r="BV6">
        <v>751699.2</v>
      </c>
      <c r="BW6">
        <v>10.25</v>
      </c>
      <c r="BX6">
        <v>20.100000000000001</v>
      </c>
      <c r="BY6">
        <v>193.1</v>
      </c>
      <c r="BZ6">
        <v>62</v>
      </c>
      <c r="CA6">
        <v>21.4</v>
      </c>
      <c r="CB6">
        <v>16.2</v>
      </c>
      <c r="CC6">
        <v>857902.9</v>
      </c>
      <c r="CD6">
        <v>11.81</v>
      </c>
      <c r="CE6">
        <v>28.2</v>
      </c>
      <c r="CF6">
        <v>268.2</v>
      </c>
      <c r="CG6">
        <v>48.1</v>
      </c>
      <c r="CH6">
        <v>23</v>
      </c>
      <c r="CI6">
        <v>19.600000000000001</v>
      </c>
      <c r="CJ6">
        <v>958509.3</v>
      </c>
      <c r="CK6">
        <v>11.98</v>
      </c>
      <c r="CL6">
        <v>30.5</v>
      </c>
      <c r="CM6">
        <v>304.89999999999998</v>
      </c>
      <c r="CN6">
        <v>43.6</v>
      </c>
      <c r="CP6" s="3">
        <v>119.07146077499999</v>
      </c>
      <c r="CQ6" s="3">
        <v>235.14453102913441</v>
      </c>
      <c r="CR6" s="3">
        <v>211.74875985799997</v>
      </c>
      <c r="CS6" s="3">
        <v>150.26687985202918</v>
      </c>
      <c r="CT6" s="3">
        <v>166.58352970400003</v>
      </c>
      <c r="CU6" s="7">
        <v>0.06</v>
      </c>
      <c r="CV6" s="7">
        <v>0.14000000000000001</v>
      </c>
      <c r="CW6" s="7">
        <v>7.0000000000000007E-2</v>
      </c>
      <c r="CX6" s="7">
        <v>0.04</v>
      </c>
      <c r="CY6" s="3">
        <f t="shared" si="0"/>
        <v>60.935521019670105</v>
      </c>
      <c r="CZ6">
        <v>1498</v>
      </c>
      <c r="DA6">
        <v>652</v>
      </c>
      <c r="DB6">
        <v>501380</v>
      </c>
      <c r="DC6">
        <v>1435</v>
      </c>
      <c r="DE6" t="s">
        <v>146</v>
      </c>
      <c r="DF6" s="11"/>
      <c r="DK6" s="5">
        <v>1214.0003815701612</v>
      </c>
      <c r="DM6" s="5">
        <v>521.00481061290157</v>
      </c>
    </row>
    <row r="7" spans="1:117" x14ac:dyDescent="0.25">
      <c r="A7" t="s">
        <v>96</v>
      </c>
      <c r="B7" t="s">
        <v>114</v>
      </c>
      <c r="C7">
        <v>117.173785</v>
      </c>
      <c r="D7">
        <v>-32.142505</v>
      </c>
      <c r="E7">
        <v>2018</v>
      </c>
      <c r="F7" t="s">
        <v>132</v>
      </c>
      <c r="G7" t="s">
        <v>139</v>
      </c>
      <c r="H7" t="s">
        <v>142</v>
      </c>
      <c r="I7">
        <v>23.9</v>
      </c>
      <c r="J7">
        <v>80.400000000000006</v>
      </c>
      <c r="K7">
        <v>935491.7</v>
      </c>
      <c r="L7">
        <v>14.85</v>
      </c>
      <c r="M7">
        <v>30.1</v>
      </c>
      <c r="N7">
        <v>310.5</v>
      </c>
      <c r="O7">
        <v>48.8</v>
      </c>
      <c r="P7">
        <v>23.6</v>
      </c>
      <c r="Q7">
        <v>17</v>
      </c>
      <c r="R7">
        <v>749143.6</v>
      </c>
      <c r="S7">
        <v>11.25</v>
      </c>
      <c r="T7">
        <v>30.3</v>
      </c>
      <c r="U7">
        <v>242</v>
      </c>
      <c r="V7">
        <v>51.3</v>
      </c>
      <c r="W7">
        <v>22.6</v>
      </c>
      <c r="X7">
        <v>1.8</v>
      </c>
      <c r="Y7">
        <v>694871.7</v>
      </c>
      <c r="Z7">
        <v>11.6</v>
      </c>
      <c r="AA7">
        <v>28.7</v>
      </c>
      <c r="AB7">
        <v>232.4</v>
      </c>
      <c r="AC7">
        <v>51.3</v>
      </c>
      <c r="AD7">
        <v>18.2</v>
      </c>
      <c r="AE7">
        <v>9.6</v>
      </c>
      <c r="AF7">
        <v>491472.5</v>
      </c>
      <c r="AG7">
        <v>7.24</v>
      </c>
      <c r="AH7">
        <v>16.600000000000001</v>
      </c>
      <c r="AI7">
        <v>136.9</v>
      </c>
      <c r="AJ7">
        <v>61.7</v>
      </c>
      <c r="AK7">
        <v>14.8</v>
      </c>
      <c r="AL7">
        <v>29.6</v>
      </c>
      <c r="AM7">
        <v>301138.7</v>
      </c>
      <c r="AN7">
        <v>8.5399999999999991</v>
      </c>
      <c r="AO7">
        <v>17.600000000000001</v>
      </c>
      <c r="AP7">
        <v>86.9</v>
      </c>
      <c r="AQ7">
        <v>60.9</v>
      </c>
      <c r="AR7">
        <v>11.2</v>
      </c>
      <c r="AS7">
        <v>41.6</v>
      </c>
      <c r="AT7">
        <v>295113.2</v>
      </c>
      <c r="AU7">
        <v>4.58</v>
      </c>
      <c r="AV7">
        <v>13.4</v>
      </c>
      <c r="AW7">
        <v>55.5</v>
      </c>
      <c r="AX7">
        <v>80.7</v>
      </c>
      <c r="AY7">
        <v>11.2</v>
      </c>
      <c r="AZ7">
        <v>69.8</v>
      </c>
      <c r="BA7">
        <v>329111.5</v>
      </c>
      <c r="BB7">
        <v>7.13</v>
      </c>
      <c r="BC7">
        <v>12.2</v>
      </c>
      <c r="BD7">
        <v>62.5</v>
      </c>
      <c r="BE7">
        <v>81.5</v>
      </c>
      <c r="BF7">
        <v>9.9</v>
      </c>
      <c r="BG7">
        <v>83.2</v>
      </c>
      <c r="BH7">
        <v>426262.6</v>
      </c>
      <c r="BI7">
        <v>8.52</v>
      </c>
      <c r="BJ7">
        <v>12.1</v>
      </c>
      <c r="BK7">
        <v>81.8</v>
      </c>
      <c r="BL7">
        <v>81.099999999999994</v>
      </c>
      <c r="BM7">
        <v>11.9</v>
      </c>
      <c r="BN7">
        <v>7.2</v>
      </c>
      <c r="BO7">
        <v>579834.69999999995</v>
      </c>
      <c r="BP7">
        <v>7.45</v>
      </c>
      <c r="BQ7">
        <v>14.8</v>
      </c>
      <c r="BR7">
        <v>125.6</v>
      </c>
      <c r="BS7">
        <v>73.400000000000006</v>
      </c>
      <c r="BT7">
        <v>16.399999999999999</v>
      </c>
      <c r="BU7">
        <v>31</v>
      </c>
      <c r="BV7">
        <v>668239.19999999995</v>
      </c>
      <c r="BW7">
        <v>10.02</v>
      </c>
      <c r="BX7">
        <v>20.100000000000001</v>
      </c>
      <c r="BY7">
        <v>176.8</v>
      </c>
      <c r="BZ7">
        <v>66.8</v>
      </c>
      <c r="CA7">
        <v>18.8</v>
      </c>
      <c r="CB7">
        <v>3.2</v>
      </c>
      <c r="CC7">
        <v>884091.4</v>
      </c>
      <c r="CD7">
        <v>11.39</v>
      </c>
      <c r="CE7">
        <v>27.2</v>
      </c>
      <c r="CF7">
        <v>254.4</v>
      </c>
      <c r="CG7">
        <v>49.7</v>
      </c>
      <c r="CH7">
        <v>23.2</v>
      </c>
      <c r="CI7">
        <v>0</v>
      </c>
      <c r="CJ7">
        <v>961491.2</v>
      </c>
      <c r="CK7">
        <v>11.19</v>
      </c>
      <c r="CL7">
        <v>32.299999999999997</v>
      </c>
      <c r="CM7">
        <v>313</v>
      </c>
      <c r="CN7">
        <v>41.1</v>
      </c>
      <c r="CP7" s="3">
        <v>149.45420497500001</v>
      </c>
      <c r="CQ7" s="3">
        <v>274.57347051901041</v>
      </c>
      <c r="CR7" s="3">
        <v>237.4236465424917</v>
      </c>
      <c r="CS7" s="3">
        <v>174.41377918435418</v>
      </c>
      <c r="CT7" s="3">
        <v>166.56083829114584</v>
      </c>
      <c r="CU7" s="7">
        <v>0.06</v>
      </c>
      <c r="CV7" s="7">
        <v>0.14000000000000001</v>
      </c>
      <c r="CW7" s="7">
        <v>7.0000000000000007E-2</v>
      </c>
      <c r="CX7" s="7">
        <v>0.04</v>
      </c>
      <c r="CY7" s="3">
        <f t="shared" si="0"/>
        <v>68.585116821640085</v>
      </c>
      <c r="CZ7">
        <v>1364</v>
      </c>
      <c r="DA7">
        <v>600</v>
      </c>
      <c r="DB7">
        <v>496060</v>
      </c>
      <c r="DC7">
        <v>1349</v>
      </c>
      <c r="DE7" t="s">
        <v>146</v>
      </c>
      <c r="DK7" s="5">
        <v>1105.4048868235648</v>
      </c>
      <c r="DM7" s="5">
        <v>479.45227970512417</v>
      </c>
    </row>
    <row r="8" spans="1:117" x14ac:dyDescent="0.25">
      <c r="A8" t="s">
        <v>96</v>
      </c>
      <c r="B8" t="s">
        <v>114</v>
      </c>
      <c r="C8">
        <v>117.173785</v>
      </c>
      <c r="D8">
        <v>-32.142505</v>
      </c>
      <c r="E8">
        <v>2019</v>
      </c>
      <c r="F8" t="s">
        <v>132</v>
      </c>
      <c r="G8" t="s">
        <v>139</v>
      </c>
      <c r="H8" t="s">
        <v>142</v>
      </c>
      <c r="I8">
        <v>24</v>
      </c>
      <c r="J8">
        <v>0</v>
      </c>
      <c r="K8">
        <v>1002215.1</v>
      </c>
      <c r="L8">
        <v>12.29</v>
      </c>
      <c r="M8">
        <v>34.9</v>
      </c>
      <c r="N8">
        <v>331.1</v>
      </c>
      <c r="O8">
        <v>41.1</v>
      </c>
      <c r="P8">
        <v>24.4</v>
      </c>
      <c r="Q8">
        <v>0</v>
      </c>
      <c r="R8">
        <v>822227.9</v>
      </c>
      <c r="S8">
        <v>12.3</v>
      </c>
      <c r="T8">
        <v>34.9</v>
      </c>
      <c r="U8">
        <v>276.5</v>
      </c>
      <c r="V8">
        <v>43.8</v>
      </c>
      <c r="W8">
        <v>22.3</v>
      </c>
      <c r="X8">
        <v>2.6</v>
      </c>
      <c r="Y8">
        <v>679808.1</v>
      </c>
      <c r="Z8">
        <v>10.1</v>
      </c>
      <c r="AA8">
        <v>30.8</v>
      </c>
      <c r="AB8">
        <v>222.7</v>
      </c>
      <c r="AC8">
        <v>51.2</v>
      </c>
      <c r="AD8">
        <v>17.100000000000001</v>
      </c>
      <c r="AE8">
        <v>13.8</v>
      </c>
      <c r="AF8">
        <v>525198.5</v>
      </c>
      <c r="AG8">
        <v>8.18</v>
      </c>
      <c r="AH8">
        <v>23</v>
      </c>
      <c r="AI8">
        <v>151.19999999999999</v>
      </c>
      <c r="AJ8">
        <v>58.7</v>
      </c>
      <c r="AK8">
        <v>12.2</v>
      </c>
      <c r="AL8">
        <v>9.6</v>
      </c>
      <c r="AM8">
        <v>419269.2</v>
      </c>
      <c r="AN8">
        <v>6.27</v>
      </c>
      <c r="AO8">
        <v>16.8</v>
      </c>
      <c r="AP8">
        <v>108</v>
      </c>
      <c r="AQ8">
        <v>62.4</v>
      </c>
      <c r="AR8">
        <v>11.4</v>
      </c>
      <c r="AS8">
        <v>88.8</v>
      </c>
      <c r="AT8">
        <v>298156.09999999998</v>
      </c>
      <c r="AU8">
        <v>9</v>
      </c>
      <c r="AV8">
        <v>13.5</v>
      </c>
      <c r="AW8">
        <v>71.900000000000006</v>
      </c>
      <c r="AX8">
        <v>71.3</v>
      </c>
      <c r="AY8">
        <v>10.7</v>
      </c>
      <c r="AZ8">
        <v>54</v>
      </c>
      <c r="BA8">
        <v>329575.59999999998</v>
      </c>
      <c r="BB8">
        <v>6.19</v>
      </c>
      <c r="BC8">
        <v>12.5</v>
      </c>
      <c r="BD8">
        <v>61.9</v>
      </c>
      <c r="BE8">
        <v>82.8</v>
      </c>
      <c r="BF8">
        <v>11.1</v>
      </c>
      <c r="BG8">
        <v>84.4</v>
      </c>
      <c r="BH8">
        <v>443155.8</v>
      </c>
      <c r="BI8">
        <v>7.51</v>
      </c>
      <c r="BJ8">
        <v>12.9</v>
      </c>
      <c r="BK8">
        <v>94.5</v>
      </c>
      <c r="BL8">
        <v>76.099999999999994</v>
      </c>
      <c r="BM8">
        <v>13.8</v>
      </c>
      <c r="BN8">
        <v>14.6</v>
      </c>
      <c r="BO8">
        <v>622332.5</v>
      </c>
      <c r="BP8">
        <v>6.77</v>
      </c>
      <c r="BQ8">
        <v>16.7</v>
      </c>
      <c r="BR8">
        <v>140.19999999999999</v>
      </c>
      <c r="BS8">
        <v>71.400000000000006</v>
      </c>
      <c r="BT8">
        <v>16.8</v>
      </c>
      <c r="BU8">
        <v>13.4</v>
      </c>
      <c r="BV8">
        <v>793155.8</v>
      </c>
      <c r="BW8">
        <v>9.06</v>
      </c>
      <c r="BX8">
        <v>23.6</v>
      </c>
      <c r="BY8">
        <v>217.1</v>
      </c>
      <c r="BZ8">
        <v>58</v>
      </c>
      <c r="CA8">
        <v>21</v>
      </c>
      <c r="CB8">
        <v>3.8</v>
      </c>
      <c r="CC8">
        <v>934873.5</v>
      </c>
      <c r="CD8">
        <v>12.13</v>
      </c>
      <c r="CE8">
        <v>30.3</v>
      </c>
      <c r="CF8">
        <v>290.2</v>
      </c>
      <c r="CG8">
        <v>42.4</v>
      </c>
      <c r="CH8">
        <v>25.9</v>
      </c>
      <c r="CI8">
        <v>0</v>
      </c>
      <c r="CJ8">
        <v>984858.9</v>
      </c>
      <c r="CK8">
        <v>10.83</v>
      </c>
      <c r="CL8">
        <v>36.4</v>
      </c>
      <c r="CM8">
        <v>337.7</v>
      </c>
      <c r="CN8">
        <v>36.1</v>
      </c>
      <c r="CP8" s="3">
        <v>151.20769046666666</v>
      </c>
      <c r="CQ8" s="3">
        <v>267.33967790703502</v>
      </c>
      <c r="CR8" s="3">
        <v>246.94953969827165</v>
      </c>
      <c r="CS8" s="3">
        <v>186.82042264949916</v>
      </c>
      <c r="CT8" s="3">
        <v>164.67061180174997</v>
      </c>
      <c r="CU8" s="7">
        <v>0.06</v>
      </c>
      <c r="CV8" s="7">
        <v>0.14000000000000001</v>
      </c>
      <c r="CW8" s="7">
        <v>7.0000000000000007E-2</v>
      </c>
      <c r="CX8" s="7">
        <v>0.04</v>
      </c>
      <c r="CY8" s="3">
        <f t="shared" si="0"/>
        <v>70.277570289715072</v>
      </c>
      <c r="CZ8">
        <v>1772</v>
      </c>
      <c r="DA8">
        <v>669</v>
      </c>
      <c r="DB8">
        <v>656390</v>
      </c>
      <c r="DC8">
        <v>1780</v>
      </c>
      <c r="DE8" t="s">
        <v>146</v>
      </c>
      <c r="DK8" s="5">
        <v>1436.0538559027541</v>
      </c>
      <c r="DM8" s="5">
        <v>534.58929187121339</v>
      </c>
    </row>
    <row r="9" spans="1:117" x14ac:dyDescent="0.25">
      <c r="A9" t="s">
        <v>96</v>
      </c>
      <c r="B9" t="s">
        <v>114</v>
      </c>
      <c r="C9">
        <v>117.173785</v>
      </c>
      <c r="D9">
        <v>-32.142505</v>
      </c>
      <c r="E9">
        <v>2020</v>
      </c>
      <c r="F9" t="s">
        <v>132</v>
      </c>
      <c r="G9" t="s">
        <v>139</v>
      </c>
      <c r="H9" t="s">
        <v>142</v>
      </c>
      <c r="I9">
        <v>24.2</v>
      </c>
      <c r="J9">
        <v>1.4</v>
      </c>
      <c r="K9">
        <v>982598.7</v>
      </c>
      <c r="L9">
        <v>12.81</v>
      </c>
      <c r="M9">
        <v>36.9</v>
      </c>
      <c r="N9">
        <v>330.1</v>
      </c>
      <c r="O9">
        <v>40.700000000000003</v>
      </c>
      <c r="P9">
        <v>24.8</v>
      </c>
      <c r="Q9">
        <v>46.4</v>
      </c>
      <c r="R9">
        <v>697190.1</v>
      </c>
      <c r="S9">
        <v>13.72</v>
      </c>
      <c r="T9">
        <v>25</v>
      </c>
      <c r="U9">
        <v>251</v>
      </c>
      <c r="V9">
        <v>49.2</v>
      </c>
      <c r="W9">
        <v>21.5</v>
      </c>
      <c r="X9">
        <v>12.8</v>
      </c>
      <c r="Y9">
        <v>677514.7</v>
      </c>
      <c r="Z9">
        <v>10.36</v>
      </c>
      <c r="AA9">
        <v>26.3</v>
      </c>
      <c r="AB9">
        <v>212</v>
      </c>
      <c r="AC9">
        <v>55.3</v>
      </c>
      <c r="AD9">
        <v>18.8</v>
      </c>
      <c r="AE9">
        <v>5</v>
      </c>
      <c r="AF9">
        <v>488895.9</v>
      </c>
      <c r="AG9">
        <v>8.1199999999999992</v>
      </c>
      <c r="AH9">
        <v>23.7</v>
      </c>
      <c r="AI9">
        <v>150.5</v>
      </c>
      <c r="AJ9">
        <v>56.7</v>
      </c>
      <c r="AK9">
        <v>13.3</v>
      </c>
      <c r="AL9">
        <v>33.6</v>
      </c>
      <c r="AM9">
        <v>381918.7</v>
      </c>
      <c r="AN9">
        <v>8.89</v>
      </c>
      <c r="AO9">
        <v>16.5</v>
      </c>
      <c r="AP9">
        <v>103.6</v>
      </c>
      <c r="AQ9">
        <v>66.400000000000006</v>
      </c>
      <c r="AR9">
        <v>12.7</v>
      </c>
      <c r="AS9">
        <v>56.8</v>
      </c>
      <c r="AT9">
        <v>303206.09999999998</v>
      </c>
      <c r="AU9">
        <v>7.4</v>
      </c>
      <c r="AV9">
        <v>14.1</v>
      </c>
      <c r="AW9">
        <v>69.400000000000006</v>
      </c>
      <c r="AX9">
        <v>74.900000000000006</v>
      </c>
      <c r="AY9">
        <v>11</v>
      </c>
      <c r="AZ9">
        <v>27.4</v>
      </c>
      <c r="BA9">
        <v>377414.3</v>
      </c>
      <c r="BB9">
        <v>7.03</v>
      </c>
      <c r="BC9">
        <v>12.9</v>
      </c>
      <c r="BD9">
        <v>79.599999999999994</v>
      </c>
      <c r="BE9">
        <v>78.7</v>
      </c>
      <c r="BF9">
        <v>10.9</v>
      </c>
      <c r="BG9">
        <v>31</v>
      </c>
      <c r="BH9">
        <v>466259.5</v>
      </c>
      <c r="BI9">
        <v>8.57</v>
      </c>
      <c r="BJ9">
        <v>13.5</v>
      </c>
      <c r="BK9">
        <v>95.9</v>
      </c>
      <c r="BL9">
        <v>77.7</v>
      </c>
      <c r="BM9">
        <v>13.4</v>
      </c>
      <c r="BN9">
        <v>41</v>
      </c>
      <c r="BO9">
        <v>580805.4</v>
      </c>
      <c r="BP9">
        <v>9.6999999999999993</v>
      </c>
      <c r="BQ9">
        <v>15.9</v>
      </c>
      <c r="BR9">
        <v>142.5</v>
      </c>
      <c r="BS9">
        <v>70</v>
      </c>
      <c r="BT9">
        <v>17.399999999999999</v>
      </c>
      <c r="BU9">
        <v>0.8</v>
      </c>
      <c r="BV9">
        <v>779938</v>
      </c>
      <c r="BW9">
        <v>10.43</v>
      </c>
      <c r="BX9">
        <v>22.5</v>
      </c>
      <c r="BY9">
        <v>225.6</v>
      </c>
      <c r="BZ9">
        <v>52.6</v>
      </c>
      <c r="CA9">
        <v>18.3</v>
      </c>
      <c r="CB9">
        <v>32.4</v>
      </c>
      <c r="CC9">
        <v>802572.4</v>
      </c>
      <c r="CD9">
        <v>11.53</v>
      </c>
      <c r="CE9">
        <v>23.3</v>
      </c>
      <c r="CF9">
        <v>230.6</v>
      </c>
      <c r="CG9">
        <v>56.5</v>
      </c>
      <c r="CH9">
        <v>23.5</v>
      </c>
      <c r="CI9">
        <v>0.2</v>
      </c>
      <c r="CJ9">
        <v>996815.1</v>
      </c>
      <c r="CK9">
        <v>13.69</v>
      </c>
      <c r="CL9">
        <v>31.1</v>
      </c>
      <c r="CM9">
        <v>334.6</v>
      </c>
      <c r="CN9">
        <v>37.9</v>
      </c>
      <c r="CP9" s="3">
        <v>137.12151142499999</v>
      </c>
      <c r="CQ9" s="3">
        <v>183.94377395835087</v>
      </c>
      <c r="CR9" s="3">
        <v>171.50265380089249</v>
      </c>
      <c r="CS9" s="3">
        <v>153.47587761539251</v>
      </c>
      <c r="CT9" s="3">
        <v>168.62831412656331</v>
      </c>
      <c r="CU9" s="7">
        <v>0.06</v>
      </c>
      <c r="CV9" s="7">
        <v>0.14000000000000001</v>
      </c>
      <c r="CW9" s="7">
        <v>7.0000000000000007E-2</v>
      </c>
      <c r="CX9" s="7">
        <v>0.04</v>
      </c>
      <c r="CY9" s="3">
        <f t="shared" si="0"/>
        <v>52.535441967766019</v>
      </c>
      <c r="CZ9">
        <v>1005</v>
      </c>
      <c r="DA9">
        <v>646</v>
      </c>
      <c r="DB9">
        <v>524950</v>
      </c>
      <c r="DC9">
        <v>1056</v>
      </c>
      <c r="DE9" t="s">
        <v>146</v>
      </c>
      <c r="DK9" s="5">
        <v>814.46621059947404</v>
      </c>
      <c r="DM9" s="5">
        <v>516.21028781585039</v>
      </c>
    </row>
    <row r="10" spans="1:117" x14ac:dyDescent="0.25">
      <c r="A10" t="s">
        <v>97</v>
      </c>
      <c r="B10" t="s">
        <v>115</v>
      </c>
      <c r="C10">
        <v>115.794999</v>
      </c>
      <c r="D10">
        <v>-33.937097000000001</v>
      </c>
      <c r="E10">
        <v>2013</v>
      </c>
      <c r="F10" t="s">
        <v>133</v>
      </c>
      <c r="G10" t="s">
        <v>140</v>
      </c>
      <c r="H10" t="s">
        <v>143</v>
      </c>
      <c r="I10">
        <v>21.9</v>
      </c>
      <c r="J10">
        <v>6.6</v>
      </c>
      <c r="K10">
        <v>886722.5</v>
      </c>
      <c r="L10">
        <v>9.44</v>
      </c>
      <c r="N10">
        <v>250.5</v>
      </c>
      <c r="O10">
        <v>61.8</v>
      </c>
      <c r="P10">
        <v>22.9</v>
      </c>
      <c r="Q10">
        <v>1.6</v>
      </c>
      <c r="R10">
        <v>738364.8</v>
      </c>
      <c r="S10">
        <v>9.14</v>
      </c>
      <c r="U10">
        <v>226</v>
      </c>
      <c r="V10">
        <v>55.6</v>
      </c>
      <c r="W10">
        <v>18.3</v>
      </c>
      <c r="X10">
        <v>37.6</v>
      </c>
      <c r="Y10">
        <v>518207</v>
      </c>
      <c r="Z10">
        <v>7.39</v>
      </c>
      <c r="AB10">
        <v>135.6</v>
      </c>
      <c r="AC10">
        <v>72.3</v>
      </c>
      <c r="AD10">
        <v>18.7</v>
      </c>
      <c r="AE10">
        <v>35</v>
      </c>
      <c r="AF10">
        <v>397351.7</v>
      </c>
      <c r="AG10">
        <v>6.04</v>
      </c>
      <c r="AI10">
        <v>103</v>
      </c>
      <c r="AJ10">
        <v>76.5</v>
      </c>
      <c r="AK10">
        <v>12.8</v>
      </c>
      <c r="AL10">
        <v>207.2</v>
      </c>
      <c r="AM10">
        <v>298655.3</v>
      </c>
      <c r="AN10">
        <v>6.21</v>
      </c>
      <c r="AP10">
        <v>53</v>
      </c>
      <c r="AQ10">
        <v>87.8</v>
      </c>
      <c r="AR10">
        <v>11.4</v>
      </c>
      <c r="AS10">
        <v>80.2</v>
      </c>
      <c r="AT10">
        <v>255144.6</v>
      </c>
      <c r="AU10">
        <v>6.22</v>
      </c>
      <c r="AW10">
        <v>42.8</v>
      </c>
      <c r="AX10">
        <v>88.4</v>
      </c>
      <c r="AY10">
        <v>10.6</v>
      </c>
      <c r="AZ10">
        <v>159</v>
      </c>
      <c r="BA10">
        <v>275000.40000000002</v>
      </c>
      <c r="BB10">
        <v>7</v>
      </c>
      <c r="BD10">
        <v>47.2</v>
      </c>
      <c r="BE10">
        <v>87.8</v>
      </c>
      <c r="BF10">
        <v>12.3</v>
      </c>
      <c r="BG10">
        <v>165.2</v>
      </c>
      <c r="BH10">
        <v>298719.59999999998</v>
      </c>
      <c r="BI10">
        <v>6.31</v>
      </c>
      <c r="BK10">
        <v>49.1</v>
      </c>
      <c r="BL10">
        <v>88.6</v>
      </c>
      <c r="BM10">
        <v>12.9</v>
      </c>
      <c r="BN10">
        <v>187</v>
      </c>
      <c r="BO10">
        <v>392100.6</v>
      </c>
      <c r="BP10">
        <v>8.4</v>
      </c>
      <c r="BR10">
        <v>73.5</v>
      </c>
      <c r="BS10">
        <v>81.8</v>
      </c>
      <c r="BT10">
        <v>14.7</v>
      </c>
      <c r="BU10">
        <v>35.4</v>
      </c>
      <c r="BV10">
        <v>653901</v>
      </c>
      <c r="BW10">
        <v>7.43</v>
      </c>
      <c r="BY10">
        <v>144.30000000000001</v>
      </c>
      <c r="BZ10">
        <v>77.400000000000006</v>
      </c>
      <c r="CA10">
        <v>18.5</v>
      </c>
      <c r="CB10">
        <v>47.2</v>
      </c>
      <c r="CC10">
        <v>741297.6</v>
      </c>
      <c r="CD10">
        <v>10.19</v>
      </c>
      <c r="CF10">
        <v>194.3</v>
      </c>
      <c r="CG10">
        <v>64.7</v>
      </c>
      <c r="CH10">
        <v>19.600000000000001</v>
      </c>
      <c r="CI10">
        <v>1.8</v>
      </c>
      <c r="CJ10">
        <v>905454</v>
      </c>
      <c r="CK10">
        <v>9.27</v>
      </c>
      <c r="CM10">
        <v>244.8</v>
      </c>
      <c r="CN10">
        <v>61.7</v>
      </c>
      <c r="CP10" s="3">
        <v>344.25478384166667</v>
      </c>
      <c r="CQ10" s="3">
        <v>485.1324771412531</v>
      </c>
      <c r="CR10" s="3">
        <v>453.99912920229173</v>
      </c>
      <c r="CS10" s="3">
        <v>379.15555696741984</v>
      </c>
      <c r="CT10" s="3">
        <v>431.36433691804177</v>
      </c>
      <c r="CU10" s="7">
        <v>0.06</v>
      </c>
      <c r="CV10" s="7">
        <v>0.14000000000000001</v>
      </c>
      <c r="CW10" s="7">
        <v>7.0000000000000007E-2</v>
      </c>
      <c r="CX10" s="7">
        <v>0.04</v>
      </c>
      <c r="CY10" s="3">
        <f t="shared" ref="CY10:CY52" si="1">+CQ10*CU10+CR10*CV10+CS10*CW10+CT10*CX10</f>
        <v>136.46328918123712</v>
      </c>
      <c r="CZ10">
        <v>38</v>
      </c>
      <c r="DA10">
        <v>12</v>
      </c>
      <c r="DB10">
        <v>16870</v>
      </c>
      <c r="DC10">
        <v>37</v>
      </c>
      <c r="DE10" t="s">
        <v>146</v>
      </c>
      <c r="DK10" s="5">
        <v>661.83333333333337</v>
      </c>
      <c r="DM10" s="5">
        <v>150.08333333333334</v>
      </c>
    </row>
    <row r="11" spans="1:117" x14ac:dyDescent="0.25">
      <c r="A11" t="s">
        <v>97</v>
      </c>
      <c r="B11" t="s">
        <v>115</v>
      </c>
      <c r="C11">
        <v>115.794999</v>
      </c>
      <c r="D11">
        <v>-33.937097000000001</v>
      </c>
      <c r="E11">
        <v>2014</v>
      </c>
      <c r="F11" t="s">
        <v>133</v>
      </c>
      <c r="G11" t="s">
        <v>140</v>
      </c>
      <c r="H11" t="s">
        <v>143</v>
      </c>
      <c r="I11">
        <v>21.6</v>
      </c>
      <c r="J11">
        <v>2.6</v>
      </c>
      <c r="K11">
        <v>930692.7</v>
      </c>
      <c r="L11">
        <v>9.57</v>
      </c>
      <c r="N11">
        <v>269.2</v>
      </c>
      <c r="O11">
        <v>58.7</v>
      </c>
      <c r="P11">
        <v>21.3</v>
      </c>
      <c r="Q11">
        <v>0</v>
      </c>
      <c r="R11">
        <v>789613.6</v>
      </c>
      <c r="S11">
        <v>10</v>
      </c>
      <c r="U11">
        <v>230.7</v>
      </c>
      <c r="V11">
        <v>56.9</v>
      </c>
      <c r="W11">
        <v>19.7</v>
      </c>
      <c r="X11">
        <v>20.2</v>
      </c>
      <c r="Y11">
        <v>609997.6</v>
      </c>
      <c r="Z11">
        <v>8.81</v>
      </c>
      <c r="AB11">
        <v>177.9</v>
      </c>
      <c r="AC11">
        <v>66.2</v>
      </c>
      <c r="AD11">
        <v>16.899999999999999</v>
      </c>
      <c r="AE11">
        <v>11.2</v>
      </c>
      <c r="AF11">
        <v>443368.2</v>
      </c>
      <c r="AG11">
        <v>7.04</v>
      </c>
      <c r="AI11">
        <v>114.4</v>
      </c>
      <c r="AJ11">
        <v>71.3</v>
      </c>
      <c r="AK11">
        <v>14.5</v>
      </c>
      <c r="AL11">
        <v>165</v>
      </c>
      <c r="AM11">
        <v>250422.6</v>
      </c>
      <c r="AN11">
        <v>5.94</v>
      </c>
      <c r="AP11">
        <v>46</v>
      </c>
      <c r="AQ11">
        <v>86.4</v>
      </c>
      <c r="AR11">
        <v>11.7</v>
      </c>
      <c r="AS11">
        <v>116.4</v>
      </c>
      <c r="AT11">
        <v>232392.9</v>
      </c>
      <c r="AU11">
        <v>7.24</v>
      </c>
      <c r="AW11">
        <v>41.3</v>
      </c>
      <c r="AX11">
        <v>85.4</v>
      </c>
      <c r="AY11">
        <v>11.4</v>
      </c>
      <c r="AZ11">
        <v>197.2</v>
      </c>
      <c r="BA11">
        <v>256731.5</v>
      </c>
      <c r="BB11">
        <v>7.34</v>
      </c>
      <c r="BD11">
        <v>43.3</v>
      </c>
      <c r="BE11">
        <v>87.2</v>
      </c>
      <c r="BF11">
        <v>12.8</v>
      </c>
      <c r="BG11">
        <v>149.4</v>
      </c>
      <c r="BH11">
        <v>375720.8</v>
      </c>
      <c r="BI11">
        <v>8.1</v>
      </c>
      <c r="BK11">
        <v>76.400000000000006</v>
      </c>
      <c r="BL11">
        <v>80.7</v>
      </c>
      <c r="BM11">
        <v>13.4</v>
      </c>
      <c r="BN11">
        <v>95</v>
      </c>
      <c r="BO11">
        <v>451360.3</v>
      </c>
      <c r="BP11">
        <v>7.18</v>
      </c>
      <c r="BR11">
        <v>88.8</v>
      </c>
      <c r="BS11">
        <v>81.3</v>
      </c>
      <c r="BT11">
        <v>15.1</v>
      </c>
      <c r="BU11">
        <v>40</v>
      </c>
      <c r="BV11">
        <v>646914.9</v>
      </c>
      <c r="BW11">
        <v>7.05</v>
      </c>
      <c r="BY11">
        <v>141.5</v>
      </c>
      <c r="BZ11">
        <v>76.3</v>
      </c>
      <c r="CA11">
        <v>16.2</v>
      </c>
      <c r="CB11">
        <v>36.4</v>
      </c>
      <c r="CC11">
        <v>707046.7</v>
      </c>
      <c r="CD11">
        <v>7.91</v>
      </c>
      <c r="CF11">
        <v>170.3</v>
      </c>
      <c r="CG11">
        <v>71.900000000000006</v>
      </c>
      <c r="CH11">
        <v>18.5</v>
      </c>
      <c r="CI11">
        <v>4.5999999999999996</v>
      </c>
      <c r="CJ11">
        <v>895178.9</v>
      </c>
      <c r="CK11">
        <v>9.34</v>
      </c>
      <c r="CM11">
        <v>239.3</v>
      </c>
      <c r="CN11">
        <v>63</v>
      </c>
      <c r="CP11" s="3">
        <v>283.32452813333333</v>
      </c>
      <c r="CQ11" s="3">
        <v>368.2939243092531</v>
      </c>
      <c r="CR11" s="3">
        <v>330.59328943508331</v>
      </c>
      <c r="CS11" s="3">
        <v>279.4513129062604</v>
      </c>
      <c r="CT11" s="3">
        <v>325.40383910199995</v>
      </c>
      <c r="CU11" s="7">
        <v>0.06</v>
      </c>
      <c r="CV11" s="7">
        <v>0.14000000000000001</v>
      </c>
      <c r="CW11" s="7">
        <v>7.0000000000000007E-2</v>
      </c>
      <c r="CX11" s="7">
        <v>0.04</v>
      </c>
      <c r="CY11" s="3">
        <f t="shared" si="1"/>
        <v>100.95844144698508</v>
      </c>
      <c r="CZ11">
        <v>34</v>
      </c>
      <c r="DA11">
        <v>9</v>
      </c>
      <c r="DB11">
        <v>13130</v>
      </c>
      <c r="DC11">
        <v>32</v>
      </c>
      <c r="DE11" t="s">
        <v>146</v>
      </c>
      <c r="DK11" s="5">
        <v>592.16666666666674</v>
      </c>
      <c r="DM11" s="5">
        <v>112.5625</v>
      </c>
    </row>
    <row r="12" spans="1:117" x14ac:dyDescent="0.25">
      <c r="A12" t="s">
        <v>97</v>
      </c>
      <c r="B12" t="s">
        <v>115</v>
      </c>
      <c r="C12">
        <v>115.794999</v>
      </c>
      <c r="D12">
        <v>-33.937097000000001</v>
      </c>
      <c r="E12">
        <v>2015</v>
      </c>
      <c r="F12" t="s">
        <v>133</v>
      </c>
      <c r="G12" t="s">
        <v>140</v>
      </c>
      <c r="H12" t="s">
        <v>143</v>
      </c>
      <c r="I12">
        <v>22.4</v>
      </c>
      <c r="J12">
        <v>0</v>
      </c>
      <c r="K12">
        <v>975816.3</v>
      </c>
      <c r="L12">
        <v>9.99</v>
      </c>
      <c r="N12">
        <v>287.8</v>
      </c>
      <c r="O12">
        <v>54</v>
      </c>
      <c r="P12">
        <v>22.5</v>
      </c>
      <c r="Q12">
        <v>2.8</v>
      </c>
      <c r="R12">
        <v>713807</v>
      </c>
      <c r="S12">
        <v>9.0399999999999991</v>
      </c>
      <c r="U12">
        <v>211.3</v>
      </c>
      <c r="V12">
        <v>59.3</v>
      </c>
      <c r="W12">
        <v>19.399999999999999</v>
      </c>
      <c r="X12">
        <v>38.200000000000003</v>
      </c>
      <c r="Y12">
        <v>630128.80000000005</v>
      </c>
      <c r="Z12">
        <v>8.18</v>
      </c>
      <c r="AB12">
        <v>176.8</v>
      </c>
      <c r="AC12">
        <v>66.5</v>
      </c>
      <c r="AD12">
        <v>16</v>
      </c>
      <c r="AE12">
        <v>97.4</v>
      </c>
      <c r="AF12">
        <v>409114.5</v>
      </c>
      <c r="AG12">
        <v>7.76</v>
      </c>
      <c r="AI12">
        <v>96.1</v>
      </c>
      <c r="AJ12">
        <v>74.599999999999994</v>
      </c>
      <c r="AK12">
        <v>11.9</v>
      </c>
      <c r="AL12">
        <v>94.6</v>
      </c>
      <c r="AM12">
        <v>320134.09999999998</v>
      </c>
      <c r="AN12">
        <v>6.13</v>
      </c>
      <c r="AP12">
        <v>61.6</v>
      </c>
      <c r="AQ12">
        <v>83.2</v>
      </c>
      <c r="AR12">
        <v>12.3</v>
      </c>
      <c r="AS12">
        <v>115.8</v>
      </c>
      <c r="AT12">
        <v>254096.1</v>
      </c>
      <c r="AU12">
        <v>6.95</v>
      </c>
      <c r="AW12">
        <v>46.3</v>
      </c>
      <c r="AX12">
        <v>84.9</v>
      </c>
      <c r="AY12">
        <v>11.2</v>
      </c>
      <c r="AZ12">
        <v>111.4</v>
      </c>
      <c r="BA12">
        <v>279356.5</v>
      </c>
      <c r="BB12">
        <v>6.27</v>
      </c>
      <c r="BD12">
        <v>48.7</v>
      </c>
      <c r="BE12">
        <v>85.9</v>
      </c>
      <c r="BF12">
        <v>11.2</v>
      </c>
      <c r="BG12">
        <v>100.2</v>
      </c>
      <c r="BH12">
        <v>351417.59999999998</v>
      </c>
      <c r="BI12">
        <v>5.79</v>
      </c>
      <c r="BK12">
        <v>62.1</v>
      </c>
      <c r="BL12">
        <v>84.2</v>
      </c>
      <c r="BM12">
        <v>12.5</v>
      </c>
      <c r="BN12">
        <v>82.4</v>
      </c>
      <c r="BO12">
        <v>508630.9</v>
      </c>
      <c r="BP12">
        <v>7.58</v>
      </c>
      <c r="BR12">
        <v>106.9</v>
      </c>
      <c r="BS12">
        <v>76.099999999999994</v>
      </c>
      <c r="BT12">
        <v>16.7</v>
      </c>
      <c r="BU12">
        <v>47</v>
      </c>
      <c r="BV12">
        <v>671563.5</v>
      </c>
      <c r="BW12">
        <v>7.9</v>
      </c>
      <c r="BY12">
        <v>161</v>
      </c>
      <c r="BZ12">
        <v>72.5</v>
      </c>
      <c r="CA12">
        <v>18.5</v>
      </c>
      <c r="CB12">
        <v>4.8</v>
      </c>
      <c r="CC12">
        <v>774435.1</v>
      </c>
      <c r="CD12">
        <v>8.89</v>
      </c>
      <c r="CF12">
        <v>206.7</v>
      </c>
      <c r="CG12">
        <v>64.5</v>
      </c>
      <c r="CH12">
        <v>19.3</v>
      </c>
      <c r="CI12">
        <v>0</v>
      </c>
      <c r="CJ12">
        <v>880537.1</v>
      </c>
      <c r="CK12">
        <v>10.36</v>
      </c>
      <c r="CM12">
        <v>244.4</v>
      </c>
      <c r="CN12">
        <v>59.6</v>
      </c>
      <c r="CP12" s="3">
        <v>204.8839893083333</v>
      </c>
      <c r="CQ12" s="3">
        <v>357.71587473362189</v>
      </c>
      <c r="CR12" s="3">
        <v>322.98543302087501</v>
      </c>
      <c r="CS12" s="3">
        <v>251.33925340010413</v>
      </c>
      <c r="CT12" s="3">
        <v>238.07175714163543</v>
      </c>
      <c r="CU12" s="7">
        <v>0.06</v>
      </c>
      <c r="CV12" s="7">
        <v>0.14000000000000001</v>
      </c>
      <c r="CW12" s="7">
        <v>7.0000000000000007E-2</v>
      </c>
      <c r="CX12" s="7">
        <v>0.04</v>
      </c>
      <c r="CY12" s="3">
        <f t="shared" si="1"/>
        <v>93.797531130612526</v>
      </c>
      <c r="CZ12">
        <v>52</v>
      </c>
      <c r="DA12">
        <v>18</v>
      </c>
      <c r="DB12">
        <v>17470</v>
      </c>
      <c r="DC12">
        <v>45</v>
      </c>
      <c r="DE12" t="s">
        <v>146</v>
      </c>
      <c r="DK12" s="5">
        <v>905.66666666666674</v>
      </c>
      <c r="DM12" s="5">
        <v>225.125</v>
      </c>
    </row>
    <row r="13" spans="1:117" x14ac:dyDescent="0.25">
      <c r="A13" t="s">
        <v>97</v>
      </c>
      <c r="B13" t="s">
        <v>115</v>
      </c>
      <c r="C13">
        <v>115.794999</v>
      </c>
      <c r="D13">
        <v>-33.937097000000001</v>
      </c>
      <c r="E13">
        <v>2016</v>
      </c>
      <c r="F13" t="s">
        <v>133</v>
      </c>
      <c r="G13" t="s">
        <v>140</v>
      </c>
      <c r="H13" t="s">
        <v>143</v>
      </c>
      <c r="I13">
        <v>22.5</v>
      </c>
      <c r="J13">
        <v>142.4</v>
      </c>
      <c r="K13">
        <v>769032</v>
      </c>
      <c r="L13">
        <v>9.4700000000000006</v>
      </c>
      <c r="N13">
        <v>230.5</v>
      </c>
      <c r="O13">
        <v>60.2</v>
      </c>
      <c r="P13">
        <v>21</v>
      </c>
      <c r="Q13">
        <v>3.6</v>
      </c>
      <c r="R13">
        <v>768189.3</v>
      </c>
      <c r="S13">
        <v>9.75</v>
      </c>
      <c r="U13">
        <v>220.6</v>
      </c>
      <c r="V13">
        <v>60.8</v>
      </c>
      <c r="W13">
        <v>20.100000000000001</v>
      </c>
      <c r="X13">
        <v>45</v>
      </c>
      <c r="Y13">
        <v>612828.1</v>
      </c>
      <c r="Z13">
        <v>8.39</v>
      </c>
      <c r="AB13">
        <v>167.7</v>
      </c>
      <c r="AC13">
        <v>66.8</v>
      </c>
      <c r="AD13">
        <v>16.600000000000001</v>
      </c>
      <c r="AE13">
        <v>106.2</v>
      </c>
      <c r="AF13">
        <v>358159</v>
      </c>
      <c r="AG13">
        <v>6.77</v>
      </c>
      <c r="AI13">
        <v>83.6</v>
      </c>
      <c r="AJ13">
        <v>77.599999999999994</v>
      </c>
      <c r="AK13">
        <v>12.7</v>
      </c>
      <c r="AL13">
        <v>94.8</v>
      </c>
      <c r="AM13">
        <v>300050.8</v>
      </c>
      <c r="AN13">
        <v>6.45</v>
      </c>
      <c r="AP13">
        <v>57.7</v>
      </c>
      <c r="AQ13">
        <v>83.9</v>
      </c>
      <c r="AR13">
        <v>11.3</v>
      </c>
      <c r="AS13">
        <v>111.2</v>
      </c>
      <c r="AT13">
        <v>238560.9</v>
      </c>
      <c r="AU13">
        <v>6.67</v>
      </c>
      <c r="AW13">
        <v>40.1</v>
      </c>
      <c r="AX13">
        <v>85.8</v>
      </c>
      <c r="AY13">
        <v>9.9</v>
      </c>
      <c r="AZ13">
        <v>289.2</v>
      </c>
      <c r="BA13">
        <v>271214.90000000002</v>
      </c>
      <c r="BB13">
        <v>7.61</v>
      </c>
      <c r="BD13">
        <v>42.8</v>
      </c>
      <c r="BE13">
        <v>86.9</v>
      </c>
      <c r="BF13">
        <v>10.1</v>
      </c>
      <c r="BG13">
        <v>169</v>
      </c>
      <c r="BH13">
        <v>340699.4</v>
      </c>
      <c r="BI13">
        <v>8.08</v>
      </c>
      <c r="BK13">
        <v>58.8</v>
      </c>
      <c r="BL13">
        <v>84.1</v>
      </c>
      <c r="BM13">
        <v>10.199999999999999</v>
      </c>
      <c r="BN13">
        <v>90.8</v>
      </c>
      <c r="BO13">
        <v>442773.8</v>
      </c>
      <c r="BP13">
        <v>6.5</v>
      </c>
      <c r="BR13">
        <v>81</v>
      </c>
      <c r="BS13">
        <v>81.099999999999994</v>
      </c>
      <c r="BT13">
        <v>12.6</v>
      </c>
      <c r="BU13">
        <v>70</v>
      </c>
      <c r="BV13">
        <v>600264.30000000005</v>
      </c>
      <c r="BW13">
        <v>7.97</v>
      </c>
      <c r="BY13">
        <v>124</v>
      </c>
      <c r="BZ13">
        <v>76.900000000000006</v>
      </c>
      <c r="CA13">
        <v>17</v>
      </c>
      <c r="CB13">
        <v>13.4</v>
      </c>
      <c r="CC13">
        <v>807100.3</v>
      </c>
      <c r="CD13">
        <v>9.0500000000000007</v>
      </c>
      <c r="CF13">
        <v>207.4</v>
      </c>
      <c r="CG13">
        <v>66</v>
      </c>
      <c r="CH13">
        <v>18.3</v>
      </c>
      <c r="CI13">
        <v>36.6</v>
      </c>
      <c r="CJ13">
        <v>870346.8</v>
      </c>
      <c r="CK13">
        <v>10.19</v>
      </c>
      <c r="CM13">
        <v>234.8</v>
      </c>
      <c r="CN13">
        <v>62.8</v>
      </c>
      <c r="CP13" s="3">
        <v>133.12695639999998</v>
      </c>
      <c r="CQ13" s="3">
        <v>265.94031967119787</v>
      </c>
      <c r="CR13" s="3">
        <v>244.36784107392498</v>
      </c>
      <c r="CS13" s="3">
        <v>168.48709864302083</v>
      </c>
      <c r="CT13" s="3">
        <v>219.627445633875</v>
      </c>
      <c r="CU13" s="7">
        <v>0.06</v>
      </c>
      <c r="CV13" s="7">
        <v>0.14000000000000001</v>
      </c>
      <c r="CW13" s="7">
        <v>7.0000000000000007E-2</v>
      </c>
      <c r="CX13" s="7">
        <v>0.04</v>
      </c>
      <c r="CY13" s="3">
        <f t="shared" si="1"/>
        <v>70.747111660987827</v>
      </c>
      <c r="CZ13">
        <v>27</v>
      </c>
      <c r="DA13">
        <v>11</v>
      </c>
      <c r="DB13">
        <v>9690</v>
      </c>
      <c r="DC13">
        <v>27</v>
      </c>
      <c r="DE13" t="s">
        <v>146</v>
      </c>
      <c r="DK13" s="5">
        <v>470.25000000000006</v>
      </c>
      <c r="DM13" s="5">
        <v>137.57638888888889</v>
      </c>
    </row>
    <row r="14" spans="1:117" x14ac:dyDescent="0.25">
      <c r="A14" t="s">
        <v>97</v>
      </c>
      <c r="B14" t="s">
        <v>115</v>
      </c>
      <c r="C14">
        <v>115.794999</v>
      </c>
      <c r="D14">
        <v>-33.937097000000001</v>
      </c>
      <c r="E14">
        <v>2017</v>
      </c>
      <c r="F14" t="s">
        <v>133</v>
      </c>
      <c r="G14" t="s">
        <v>140</v>
      </c>
      <c r="H14" t="s">
        <v>143</v>
      </c>
      <c r="I14">
        <v>20.399999999999999</v>
      </c>
      <c r="J14">
        <v>2.6</v>
      </c>
      <c r="K14">
        <v>970729.1</v>
      </c>
      <c r="L14">
        <v>10.53</v>
      </c>
      <c r="N14">
        <v>276.89999999999998</v>
      </c>
      <c r="O14">
        <v>58.4</v>
      </c>
      <c r="P14">
        <v>20</v>
      </c>
      <c r="Q14">
        <v>52.4</v>
      </c>
      <c r="R14">
        <v>679488.9</v>
      </c>
      <c r="S14">
        <v>9.52</v>
      </c>
      <c r="U14">
        <v>187.8</v>
      </c>
      <c r="V14">
        <v>64.7</v>
      </c>
      <c r="W14">
        <v>18.100000000000001</v>
      </c>
      <c r="X14">
        <v>67.8</v>
      </c>
      <c r="Y14">
        <v>572237.9</v>
      </c>
      <c r="Z14">
        <v>8.25</v>
      </c>
      <c r="AB14">
        <v>150</v>
      </c>
      <c r="AC14">
        <v>68</v>
      </c>
      <c r="AD14">
        <v>16.100000000000001</v>
      </c>
      <c r="AE14">
        <v>3.6</v>
      </c>
      <c r="AF14">
        <v>455469.8</v>
      </c>
      <c r="AG14">
        <v>7</v>
      </c>
      <c r="AI14">
        <v>112.7</v>
      </c>
      <c r="AJ14">
        <v>73</v>
      </c>
      <c r="AK14">
        <v>13.5</v>
      </c>
      <c r="AL14">
        <v>68.2</v>
      </c>
      <c r="AM14">
        <v>311939.7</v>
      </c>
      <c r="AN14">
        <v>6.72</v>
      </c>
      <c r="AP14">
        <v>63.7</v>
      </c>
      <c r="AQ14">
        <v>81.400000000000006</v>
      </c>
      <c r="AR14">
        <v>11.9</v>
      </c>
      <c r="AS14">
        <v>25.2</v>
      </c>
      <c r="AT14">
        <v>261704.8</v>
      </c>
      <c r="AU14">
        <v>7.04</v>
      </c>
      <c r="AW14">
        <v>51.5</v>
      </c>
      <c r="AX14">
        <v>81.7</v>
      </c>
      <c r="AY14">
        <v>10.5</v>
      </c>
      <c r="AZ14">
        <v>215.4</v>
      </c>
      <c r="BA14">
        <v>255671.4</v>
      </c>
      <c r="BB14">
        <v>7.01</v>
      </c>
      <c r="BD14">
        <v>43</v>
      </c>
      <c r="BE14">
        <v>87.4</v>
      </c>
      <c r="BF14">
        <v>11.6</v>
      </c>
      <c r="BG14">
        <v>214.8</v>
      </c>
      <c r="BH14">
        <v>348532.5</v>
      </c>
      <c r="BI14">
        <v>2.58</v>
      </c>
      <c r="BK14">
        <v>56.7</v>
      </c>
      <c r="BL14">
        <v>86</v>
      </c>
      <c r="BM14">
        <v>12.2</v>
      </c>
      <c r="BN14">
        <v>89</v>
      </c>
      <c r="BO14">
        <v>448929</v>
      </c>
      <c r="BP14">
        <v>3.77</v>
      </c>
      <c r="BR14">
        <v>79.900000000000006</v>
      </c>
      <c r="BS14">
        <v>84.1</v>
      </c>
      <c r="BT14">
        <v>14</v>
      </c>
      <c r="BU14">
        <v>56</v>
      </c>
      <c r="BV14">
        <v>618561.4</v>
      </c>
      <c r="BW14">
        <v>7.4</v>
      </c>
      <c r="BY14">
        <v>129.80000000000001</v>
      </c>
      <c r="BZ14">
        <v>77.900000000000006</v>
      </c>
      <c r="CA14">
        <v>18.5</v>
      </c>
      <c r="CB14">
        <v>30.8</v>
      </c>
      <c r="CC14">
        <v>762390.5</v>
      </c>
      <c r="CD14">
        <v>8.34</v>
      </c>
      <c r="CF14">
        <v>198.2</v>
      </c>
      <c r="CG14">
        <v>66.7</v>
      </c>
      <c r="CH14">
        <v>19.3</v>
      </c>
      <c r="CI14">
        <v>41.6</v>
      </c>
      <c r="CJ14">
        <v>900577.1</v>
      </c>
      <c r="CK14">
        <v>8.66</v>
      </c>
      <c r="CM14">
        <v>237.2</v>
      </c>
      <c r="CN14">
        <v>65.7</v>
      </c>
      <c r="CP14" s="3">
        <v>119.07146077499999</v>
      </c>
      <c r="CQ14" s="3">
        <v>235.14453102913441</v>
      </c>
      <c r="CR14" s="3">
        <v>211.74875985799997</v>
      </c>
      <c r="CS14" s="3">
        <v>150.26687985202918</v>
      </c>
      <c r="CT14" s="3">
        <v>166.58352970400003</v>
      </c>
      <c r="CU14" s="7">
        <v>0.06</v>
      </c>
      <c r="CV14" s="7">
        <v>0.14000000000000001</v>
      </c>
      <c r="CW14" s="7">
        <v>7.0000000000000007E-2</v>
      </c>
      <c r="CX14" s="7">
        <v>0.04</v>
      </c>
      <c r="CY14" s="3">
        <f t="shared" si="1"/>
        <v>60.935521019670105</v>
      </c>
      <c r="CZ14">
        <v>30</v>
      </c>
      <c r="DA14">
        <v>10</v>
      </c>
      <c r="DB14">
        <v>8760</v>
      </c>
      <c r="DC14">
        <v>29</v>
      </c>
      <c r="DE14" t="s">
        <v>146</v>
      </c>
      <c r="DK14" s="5">
        <v>522.5</v>
      </c>
      <c r="DM14" s="5">
        <v>125.06944444444444</v>
      </c>
    </row>
    <row r="15" spans="1:117" x14ac:dyDescent="0.25">
      <c r="A15" t="s">
        <v>97</v>
      </c>
      <c r="B15" t="s">
        <v>115</v>
      </c>
      <c r="C15">
        <v>115.794999</v>
      </c>
      <c r="D15">
        <v>-33.937097000000001</v>
      </c>
      <c r="E15">
        <v>2018</v>
      </c>
      <c r="F15" t="s">
        <v>133</v>
      </c>
      <c r="G15" t="s">
        <v>140</v>
      </c>
      <c r="H15" t="s">
        <v>143</v>
      </c>
      <c r="I15">
        <v>20.3</v>
      </c>
      <c r="J15">
        <v>50</v>
      </c>
      <c r="K15">
        <v>906084</v>
      </c>
      <c r="L15">
        <v>9.33</v>
      </c>
      <c r="N15">
        <v>250.5</v>
      </c>
      <c r="O15">
        <v>64.599999999999994</v>
      </c>
      <c r="P15">
        <v>20.100000000000001</v>
      </c>
      <c r="Q15">
        <v>2.2000000000000002</v>
      </c>
      <c r="R15">
        <v>680806.3</v>
      </c>
      <c r="S15">
        <v>9.19</v>
      </c>
      <c r="U15">
        <v>189.5</v>
      </c>
      <c r="V15">
        <v>67.3</v>
      </c>
      <c r="W15">
        <v>19.899999999999999</v>
      </c>
      <c r="X15">
        <v>10.8</v>
      </c>
      <c r="Y15">
        <v>584781.4</v>
      </c>
      <c r="Z15">
        <v>7.18</v>
      </c>
      <c r="AB15">
        <v>163.4</v>
      </c>
      <c r="AC15">
        <v>68.2</v>
      </c>
      <c r="AD15">
        <v>16.399999999999999</v>
      </c>
      <c r="AE15">
        <v>44.6</v>
      </c>
      <c r="AF15">
        <v>416530.6</v>
      </c>
      <c r="AG15">
        <v>3.82</v>
      </c>
      <c r="AI15">
        <v>92.5</v>
      </c>
      <c r="AJ15">
        <v>81.2</v>
      </c>
      <c r="AK15">
        <v>13.9</v>
      </c>
      <c r="AL15">
        <v>100.8</v>
      </c>
      <c r="AM15">
        <v>348404.8</v>
      </c>
      <c r="AN15">
        <v>7.79</v>
      </c>
      <c r="AP15">
        <v>84.8</v>
      </c>
      <c r="AQ15">
        <v>78.2</v>
      </c>
      <c r="AR15">
        <v>10.8</v>
      </c>
      <c r="AS15">
        <v>141.6</v>
      </c>
      <c r="AT15">
        <v>246206.3</v>
      </c>
      <c r="AU15">
        <v>6.96</v>
      </c>
      <c r="AW15">
        <v>39.9</v>
      </c>
      <c r="AX15">
        <v>93</v>
      </c>
      <c r="AY15">
        <v>11.4</v>
      </c>
      <c r="AZ15">
        <v>199.6</v>
      </c>
      <c r="BA15">
        <v>275374.5</v>
      </c>
      <c r="BB15">
        <v>6.83</v>
      </c>
      <c r="BD15">
        <v>45</v>
      </c>
      <c r="BE15">
        <v>91.6</v>
      </c>
      <c r="BF15">
        <v>10.5</v>
      </c>
      <c r="BG15">
        <v>194</v>
      </c>
      <c r="BH15">
        <v>336366.4</v>
      </c>
      <c r="BI15">
        <v>7</v>
      </c>
      <c r="BK15">
        <v>56.1</v>
      </c>
      <c r="BL15">
        <v>91.4</v>
      </c>
      <c r="BM15">
        <v>11.7</v>
      </c>
      <c r="BN15">
        <v>35.6</v>
      </c>
      <c r="BO15">
        <v>465587.5</v>
      </c>
      <c r="BP15">
        <v>6.62</v>
      </c>
      <c r="BR15">
        <v>86.1</v>
      </c>
      <c r="BS15">
        <v>86.1</v>
      </c>
      <c r="BT15">
        <v>14.8</v>
      </c>
      <c r="BU15">
        <v>44</v>
      </c>
      <c r="BV15">
        <v>602377.80000000005</v>
      </c>
      <c r="BW15">
        <v>6.94</v>
      </c>
      <c r="BY15">
        <v>127.9</v>
      </c>
      <c r="BZ15">
        <v>81.5</v>
      </c>
      <c r="CA15">
        <v>15.1</v>
      </c>
      <c r="CB15">
        <v>12.4</v>
      </c>
      <c r="CC15">
        <v>714101.9</v>
      </c>
      <c r="CD15">
        <v>8.08</v>
      </c>
      <c r="CF15">
        <v>166.2</v>
      </c>
      <c r="CG15">
        <v>73.5</v>
      </c>
      <c r="CH15">
        <v>19</v>
      </c>
      <c r="CI15">
        <v>18.600000000000001</v>
      </c>
      <c r="CJ15">
        <v>888246.7</v>
      </c>
      <c r="CK15">
        <v>7.18</v>
      </c>
      <c r="CM15">
        <v>228.4</v>
      </c>
      <c r="CN15">
        <v>69.3</v>
      </c>
      <c r="CP15" s="3">
        <v>149.45420497500001</v>
      </c>
      <c r="CQ15" s="3">
        <v>274.57347051901041</v>
      </c>
      <c r="CR15" s="3">
        <v>237.4236465424917</v>
      </c>
      <c r="CS15" s="3">
        <v>174.41377918435418</v>
      </c>
      <c r="CT15" s="3">
        <v>166.56083829114584</v>
      </c>
      <c r="CU15" s="7">
        <v>0.06</v>
      </c>
      <c r="CV15" s="7">
        <v>0.14000000000000001</v>
      </c>
      <c r="CW15" s="7">
        <v>7.0000000000000007E-2</v>
      </c>
      <c r="CX15" s="7">
        <v>0.04</v>
      </c>
      <c r="CY15" s="3">
        <f t="shared" si="1"/>
        <v>68.585116821640085</v>
      </c>
      <c r="CZ15">
        <v>63</v>
      </c>
      <c r="DA15">
        <v>18</v>
      </c>
      <c r="DB15">
        <v>24980</v>
      </c>
      <c r="DC15">
        <v>63</v>
      </c>
      <c r="DE15" t="s">
        <v>146</v>
      </c>
      <c r="DK15" s="5">
        <v>1097.25</v>
      </c>
      <c r="DM15" s="5">
        <v>225.125</v>
      </c>
    </row>
    <row r="16" spans="1:117" x14ac:dyDescent="0.25">
      <c r="A16" t="s">
        <v>97</v>
      </c>
      <c r="B16" t="s">
        <v>115</v>
      </c>
      <c r="C16">
        <v>115.794999</v>
      </c>
      <c r="D16">
        <v>-33.937097000000001</v>
      </c>
      <c r="E16">
        <v>2019</v>
      </c>
      <c r="F16" t="s">
        <v>133</v>
      </c>
      <c r="G16" t="s">
        <v>140</v>
      </c>
      <c r="H16" t="s">
        <v>143</v>
      </c>
      <c r="I16">
        <v>19.8</v>
      </c>
      <c r="J16">
        <v>11</v>
      </c>
      <c r="K16">
        <v>919030.1</v>
      </c>
      <c r="L16">
        <v>10.01</v>
      </c>
      <c r="N16">
        <v>252.4</v>
      </c>
      <c r="O16">
        <v>65.400000000000006</v>
      </c>
      <c r="P16">
        <v>21.1</v>
      </c>
      <c r="Q16">
        <v>0.4</v>
      </c>
      <c r="R16">
        <v>750286.5</v>
      </c>
      <c r="S16">
        <v>9.43</v>
      </c>
      <c r="U16">
        <v>215.2</v>
      </c>
      <c r="V16">
        <v>62.7</v>
      </c>
      <c r="W16">
        <v>19.399999999999999</v>
      </c>
      <c r="X16">
        <v>29.8</v>
      </c>
      <c r="Y16">
        <v>611446.5</v>
      </c>
      <c r="Z16">
        <v>8.2899999999999991</v>
      </c>
      <c r="AB16">
        <v>166.8</v>
      </c>
      <c r="AC16">
        <v>69.400000000000006</v>
      </c>
      <c r="AD16">
        <v>15.7</v>
      </c>
      <c r="AE16">
        <v>36</v>
      </c>
      <c r="AF16">
        <v>469511.6</v>
      </c>
      <c r="AG16">
        <v>7.58</v>
      </c>
      <c r="AI16">
        <v>119.5</v>
      </c>
      <c r="AJ16">
        <v>75.400000000000006</v>
      </c>
      <c r="AK16">
        <v>12.5</v>
      </c>
      <c r="AL16">
        <v>37.4</v>
      </c>
      <c r="AM16">
        <v>363378</v>
      </c>
      <c r="AN16">
        <v>6.8</v>
      </c>
      <c r="AP16">
        <v>77.5</v>
      </c>
      <c r="AQ16">
        <v>80.8</v>
      </c>
      <c r="AR16">
        <v>11.7</v>
      </c>
      <c r="AS16">
        <v>180</v>
      </c>
      <c r="AT16">
        <v>237848.1</v>
      </c>
      <c r="AU16">
        <v>5.12</v>
      </c>
      <c r="AW16">
        <v>50.2</v>
      </c>
      <c r="AX16">
        <v>85.1</v>
      </c>
      <c r="AY16">
        <v>11.2</v>
      </c>
      <c r="AZ16">
        <v>91</v>
      </c>
      <c r="BA16">
        <v>272074.3</v>
      </c>
      <c r="BB16">
        <v>0</v>
      </c>
      <c r="BD16">
        <v>38.299999999999997</v>
      </c>
      <c r="BE16">
        <v>91.9</v>
      </c>
      <c r="BF16">
        <v>11.1</v>
      </c>
      <c r="BG16">
        <v>130.6</v>
      </c>
      <c r="BH16">
        <v>272677.59999999998</v>
      </c>
      <c r="BI16">
        <v>1.23</v>
      </c>
      <c r="BK16">
        <v>41.9</v>
      </c>
      <c r="BL16">
        <v>86.7</v>
      </c>
      <c r="BM16">
        <v>12.9</v>
      </c>
      <c r="BN16">
        <v>43.4</v>
      </c>
      <c r="BO16">
        <v>496040.6</v>
      </c>
      <c r="BP16">
        <v>7.05</v>
      </c>
      <c r="BR16">
        <v>95.6</v>
      </c>
      <c r="BS16">
        <v>86.1</v>
      </c>
      <c r="BT16">
        <v>14.6</v>
      </c>
      <c r="BU16">
        <v>53</v>
      </c>
      <c r="BV16">
        <v>613023.9</v>
      </c>
      <c r="BW16">
        <v>6.8</v>
      </c>
      <c r="BY16">
        <v>132.69999999999999</v>
      </c>
      <c r="BZ16">
        <v>81.3</v>
      </c>
      <c r="CA16">
        <v>17.5</v>
      </c>
      <c r="CB16">
        <v>18.8</v>
      </c>
      <c r="CC16">
        <v>863738</v>
      </c>
      <c r="CD16">
        <v>8.56</v>
      </c>
      <c r="CF16">
        <v>217.3</v>
      </c>
      <c r="CG16">
        <v>68</v>
      </c>
      <c r="CH16">
        <v>22.4</v>
      </c>
      <c r="CI16">
        <v>3.4</v>
      </c>
      <c r="CJ16">
        <v>939764.6</v>
      </c>
      <c r="CK16">
        <v>8.9600000000000009</v>
      </c>
      <c r="CM16">
        <v>276.7</v>
      </c>
      <c r="CN16">
        <v>58.3</v>
      </c>
      <c r="CP16" s="3">
        <v>151.20769046666666</v>
      </c>
      <c r="CQ16" s="3">
        <v>267.33967790703502</v>
      </c>
      <c r="CR16" s="3">
        <v>246.94953969827165</v>
      </c>
      <c r="CS16" s="3">
        <v>186.82042264949916</v>
      </c>
      <c r="CT16" s="3">
        <v>164.67061180174997</v>
      </c>
      <c r="CU16" s="7">
        <v>0.06</v>
      </c>
      <c r="CV16" s="7">
        <v>0.14000000000000001</v>
      </c>
      <c r="CW16" s="7">
        <v>7.0000000000000007E-2</v>
      </c>
      <c r="CX16" s="7">
        <v>0.04</v>
      </c>
      <c r="CY16" s="3">
        <f t="shared" si="1"/>
        <v>70.277570289715072</v>
      </c>
      <c r="CZ16">
        <v>34</v>
      </c>
      <c r="DA16">
        <v>13</v>
      </c>
      <c r="DB16">
        <v>13270</v>
      </c>
      <c r="DC16">
        <v>30</v>
      </c>
      <c r="DE16" t="s">
        <v>146</v>
      </c>
      <c r="DK16" s="5">
        <v>592.16666666666674</v>
      </c>
      <c r="DM16" s="5">
        <v>162.59027777777777</v>
      </c>
    </row>
    <row r="17" spans="1:117" x14ac:dyDescent="0.25">
      <c r="A17" t="s">
        <v>97</v>
      </c>
      <c r="B17" t="s">
        <v>115</v>
      </c>
      <c r="C17">
        <v>115.794999</v>
      </c>
      <c r="D17">
        <v>-33.937097000000001</v>
      </c>
      <c r="E17">
        <v>2020</v>
      </c>
      <c r="F17" t="s">
        <v>133</v>
      </c>
      <c r="G17" t="s">
        <v>140</v>
      </c>
      <c r="H17" t="s">
        <v>143</v>
      </c>
      <c r="I17">
        <v>20</v>
      </c>
      <c r="J17">
        <v>8.1999999999999993</v>
      </c>
      <c r="K17">
        <v>921603.5</v>
      </c>
      <c r="L17">
        <v>10.01</v>
      </c>
      <c r="N17">
        <v>260.8</v>
      </c>
      <c r="O17">
        <v>64.2</v>
      </c>
      <c r="P17">
        <v>22.7</v>
      </c>
      <c r="Q17">
        <v>13.6</v>
      </c>
      <c r="R17">
        <v>698967.8</v>
      </c>
      <c r="S17">
        <v>9.6199999999999992</v>
      </c>
      <c r="U17">
        <v>206.3</v>
      </c>
      <c r="V17">
        <v>63.2</v>
      </c>
      <c r="W17">
        <v>20.2</v>
      </c>
      <c r="X17">
        <v>44.4</v>
      </c>
      <c r="Y17">
        <v>576936.19999999995</v>
      </c>
      <c r="Z17">
        <v>8.14</v>
      </c>
      <c r="AB17">
        <v>159.80000000000001</v>
      </c>
      <c r="AC17">
        <v>70.900000000000006</v>
      </c>
      <c r="AD17">
        <v>17.100000000000001</v>
      </c>
      <c r="AE17">
        <v>79.599999999999994</v>
      </c>
      <c r="AF17">
        <v>408666.3</v>
      </c>
      <c r="AG17">
        <v>6.67</v>
      </c>
      <c r="AI17">
        <v>96.6</v>
      </c>
      <c r="AJ17">
        <v>78.5</v>
      </c>
      <c r="AK17">
        <v>12.5</v>
      </c>
      <c r="AL17">
        <v>146.80000000000001</v>
      </c>
      <c r="AM17">
        <v>324385.3</v>
      </c>
      <c r="AN17">
        <v>7.4</v>
      </c>
      <c r="AP17">
        <v>65</v>
      </c>
      <c r="AQ17">
        <v>88.1</v>
      </c>
      <c r="AR17">
        <v>12.7</v>
      </c>
      <c r="AS17">
        <v>133.6</v>
      </c>
      <c r="AT17">
        <v>249664.8</v>
      </c>
      <c r="AU17">
        <v>7.06</v>
      </c>
      <c r="AW17">
        <v>42.7</v>
      </c>
      <c r="AX17">
        <v>91.4</v>
      </c>
      <c r="AY17">
        <v>11.2</v>
      </c>
      <c r="AZ17">
        <v>150.19999999999999</v>
      </c>
      <c r="BA17">
        <v>291647.8</v>
      </c>
      <c r="BB17">
        <v>7.39</v>
      </c>
      <c r="BD17">
        <v>47.2</v>
      </c>
      <c r="BE17">
        <v>93.6</v>
      </c>
      <c r="BF17">
        <v>11</v>
      </c>
      <c r="BG17">
        <v>85.2</v>
      </c>
      <c r="BH17">
        <v>368312.3</v>
      </c>
      <c r="BI17">
        <v>7.38</v>
      </c>
      <c r="BK17">
        <v>62.3</v>
      </c>
      <c r="BL17">
        <v>90.4</v>
      </c>
      <c r="BM17">
        <v>12.6</v>
      </c>
      <c r="BN17">
        <v>99.6</v>
      </c>
      <c r="BO17">
        <v>463731.7</v>
      </c>
      <c r="BP17">
        <v>7.42</v>
      </c>
      <c r="BR17">
        <v>88.5</v>
      </c>
      <c r="BS17">
        <v>88.3</v>
      </c>
      <c r="BT17">
        <v>14.8</v>
      </c>
      <c r="BU17">
        <v>45</v>
      </c>
      <c r="BV17">
        <v>680300.2</v>
      </c>
      <c r="BW17">
        <v>7.02</v>
      </c>
      <c r="BY17">
        <v>150.80000000000001</v>
      </c>
      <c r="BZ17">
        <v>79.599999999999994</v>
      </c>
      <c r="CA17">
        <v>15.4</v>
      </c>
      <c r="CB17">
        <v>77.599999999999994</v>
      </c>
      <c r="CC17">
        <v>662563.69999999995</v>
      </c>
      <c r="CD17">
        <v>7.31</v>
      </c>
      <c r="CF17">
        <v>146.80000000000001</v>
      </c>
      <c r="CG17">
        <v>80.400000000000006</v>
      </c>
      <c r="CH17">
        <v>20.2</v>
      </c>
      <c r="CI17">
        <v>6.8</v>
      </c>
      <c r="CJ17">
        <v>935933.7</v>
      </c>
      <c r="CK17">
        <v>9.56</v>
      </c>
      <c r="CM17">
        <v>253.8</v>
      </c>
      <c r="CN17">
        <v>61.2</v>
      </c>
      <c r="CP17" s="3">
        <v>137.12151142499999</v>
      </c>
      <c r="CQ17" s="3">
        <v>183.94377395835087</v>
      </c>
      <c r="CR17" s="3">
        <v>171.50265380089249</v>
      </c>
      <c r="CS17" s="3">
        <v>153.47587761539251</v>
      </c>
      <c r="CT17" s="3">
        <v>168.62831412656331</v>
      </c>
      <c r="CU17" s="7">
        <v>0.06</v>
      </c>
      <c r="CV17" s="7">
        <v>0.14000000000000001</v>
      </c>
      <c r="CW17" s="7">
        <v>7.0000000000000007E-2</v>
      </c>
      <c r="CX17" s="7">
        <v>0.04</v>
      </c>
      <c r="CY17" s="3">
        <f t="shared" si="1"/>
        <v>52.535441967766019</v>
      </c>
      <c r="CZ17">
        <v>39</v>
      </c>
      <c r="DA17">
        <v>12</v>
      </c>
      <c r="DB17">
        <v>15800</v>
      </c>
      <c r="DC17">
        <v>35</v>
      </c>
      <c r="DE17" t="s">
        <v>146</v>
      </c>
      <c r="DK17" s="5">
        <v>679.25</v>
      </c>
      <c r="DM17" s="5">
        <v>150.08333333333334</v>
      </c>
    </row>
    <row r="18" spans="1:117" x14ac:dyDescent="0.25">
      <c r="A18" t="s">
        <v>98</v>
      </c>
      <c r="B18" t="s">
        <v>116</v>
      </c>
      <c r="C18">
        <v>117.01348</v>
      </c>
      <c r="D18">
        <v>-32.386800000000001</v>
      </c>
      <c r="E18">
        <v>2013</v>
      </c>
      <c r="F18" t="s">
        <v>116</v>
      </c>
      <c r="G18" t="s">
        <v>139</v>
      </c>
      <c r="H18" t="s">
        <v>142</v>
      </c>
      <c r="I18">
        <v>23.1</v>
      </c>
      <c r="J18">
        <v>0</v>
      </c>
      <c r="K18" s="3">
        <f>+AVERAGE(K19:K21)</f>
        <v>904682.7333333334</v>
      </c>
      <c r="L18" s="3">
        <v>13.89</v>
      </c>
      <c r="M18" s="3"/>
      <c r="N18" s="3">
        <f>+AVERAGE(N19:N21)</f>
        <v>311.43333333333334</v>
      </c>
      <c r="O18" s="3">
        <v>41</v>
      </c>
      <c r="P18" s="3">
        <v>25.1</v>
      </c>
      <c r="Q18" s="3">
        <v>0</v>
      </c>
      <c r="R18" s="3">
        <f>+AVERAGE(R19:R21)</f>
        <v>762977.16666666663</v>
      </c>
      <c r="S18" s="3">
        <v>12.81</v>
      </c>
      <c r="T18" s="3"/>
      <c r="U18" s="3">
        <f>+AVERAGE(U19:U21)</f>
        <v>264.36666666666667</v>
      </c>
      <c r="V18" s="3">
        <v>40.799999999999997</v>
      </c>
      <c r="W18" s="3">
        <v>20</v>
      </c>
      <c r="X18" s="3">
        <v>66.2</v>
      </c>
      <c r="Y18" s="3">
        <f>+AVERAGE(Y19:Y21)</f>
        <v>544735.3666666667</v>
      </c>
      <c r="Z18" s="3">
        <v>11.29</v>
      </c>
      <c r="AA18" s="3"/>
      <c r="AB18" s="3">
        <f>+AVERAGE(AB19:AB21)</f>
        <v>176.23333333333335</v>
      </c>
      <c r="AC18" s="3">
        <v>60.9</v>
      </c>
      <c r="AD18" s="3">
        <v>20.7</v>
      </c>
      <c r="AE18" s="3">
        <v>8.8000000000000007</v>
      </c>
      <c r="AF18" s="3">
        <f>+AVERAGE(AF19:AF21)</f>
        <v>458766.3666666667</v>
      </c>
      <c r="AG18" s="3">
        <v>8.1199999999999992</v>
      </c>
      <c r="AH18" s="3"/>
      <c r="AI18" s="3">
        <f>+AVERAGE(AI19:AI21)</f>
        <v>128.53333333333333</v>
      </c>
      <c r="AJ18" s="3">
        <v>59.1</v>
      </c>
      <c r="AK18" s="3">
        <v>14.1</v>
      </c>
      <c r="AL18" s="3">
        <v>71.599999999999994</v>
      </c>
      <c r="AM18" s="3">
        <f>+AVERAGE(AM19:AM21)</f>
        <v>352619.83333333331</v>
      </c>
      <c r="AN18" s="3">
        <v>8.89</v>
      </c>
      <c r="AO18" s="3"/>
      <c r="AP18" s="3">
        <f>+AVERAGE(AP19:AP21)</f>
        <v>76.833333333333329</v>
      </c>
      <c r="AQ18" s="3">
        <v>74.2</v>
      </c>
      <c r="AR18" s="3">
        <v>11</v>
      </c>
      <c r="AS18" s="3">
        <v>17.8</v>
      </c>
      <c r="AT18" s="3">
        <f>+AVERAGE(AT19:AT21)</f>
        <v>302038.16666666669</v>
      </c>
      <c r="AU18" s="3">
        <v>6.99</v>
      </c>
      <c r="AV18" s="3"/>
      <c r="AW18" s="3">
        <f>+AVERAGE(AW19:AW21)</f>
        <v>58.733333333333327</v>
      </c>
      <c r="AX18" s="3">
        <v>79.099999999999994</v>
      </c>
      <c r="AY18" s="3">
        <v>9.8000000000000007</v>
      </c>
      <c r="AZ18" s="3">
        <v>122.2</v>
      </c>
      <c r="BA18" s="3">
        <f>+AVERAGE(BA19:BA21)</f>
        <v>315126.90000000002</v>
      </c>
      <c r="BB18" s="3">
        <v>8.16</v>
      </c>
      <c r="BC18" s="3"/>
      <c r="BD18" s="3">
        <f>+AVERAGE(BD19:BD21)</f>
        <v>58.966666666666661</v>
      </c>
      <c r="BE18" s="3">
        <v>81</v>
      </c>
      <c r="BF18" s="3">
        <v>11.9</v>
      </c>
      <c r="BG18" s="3">
        <v>64.400000000000006</v>
      </c>
      <c r="BH18" s="3">
        <f>+AVERAGE(BH19:BH21)</f>
        <v>407702.33333333331</v>
      </c>
      <c r="BI18" s="3">
        <v>8.34</v>
      </c>
      <c r="BJ18" s="3"/>
      <c r="BK18" s="3">
        <f>+AVERAGE(BK19:BK21)</f>
        <v>77.8</v>
      </c>
      <c r="BL18" s="3">
        <v>87.3</v>
      </c>
      <c r="BM18" s="3">
        <v>12.3</v>
      </c>
      <c r="BN18" s="3">
        <v>99.6</v>
      </c>
      <c r="BO18" s="3">
        <f>+AVERAGE(BO19:BO21)</f>
        <v>567670.56666666665</v>
      </c>
      <c r="BP18" s="3">
        <v>9.86</v>
      </c>
      <c r="BQ18" s="3"/>
      <c r="BR18" s="3">
        <f>+AVERAGE(BR19:BR21)</f>
        <v>122.06666666666665</v>
      </c>
      <c r="BS18" s="3">
        <v>84</v>
      </c>
      <c r="BT18" s="3">
        <v>13.8</v>
      </c>
      <c r="BU18" s="3">
        <v>23</v>
      </c>
      <c r="BV18" s="3">
        <f>+AVERAGE(BV19:BV21)</f>
        <v>744502.2333333334</v>
      </c>
      <c r="BW18" s="3">
        <v>7.51</v>
      </c>
      <c r="BX18" s="3"/>
      <c r="BY18" s="3">
        <f>+AVERAGE(BY19:BY21)</f>
        <v>199.43333333333331</v>
      </c>
      <c r="BZ18" s="3">
        <v>73.5</v>
      </c>
      <c r="CA18" s="3">
        <v>20.8</v>
      </c>
      <c r="CB18" s="3">
        <v>3</v>
      </c>
      <c r="CC18" s="3">
        <v>1426164.4</v>
      </c>
      <c r="CD18" s="3">
        <v>11.72</v>
      </c>
      <c r="CE18" s="3"/>
      <c r="CF18" s="3">
        <v>370.5</v>
      </c>
      <c r="CG18" s="3">
        <v>48.8</v>
      </c>
      <c r="CH18" s="3">
        <v>22.9</v>
      </c>
      <c r="CI18" s="3">
        <v>10.199999999999999</v>
      </c>
      <c r="CJ18" s="3">
        <v>2197832.1</v>
      </c>
      <c r="CK18" s="3">
        <v>11.76</v>
      </c>
      <c r="CL18" s="3"/>
      <c r="CM18" s="3">
        <v>594.79999999999995</v>
      </c>
      <c r="CN18">
        <v>42.8</v>
      </c>
      <c r="CP18" s="3">
        <v>344.25478384166667</v>
      </c>
      <c r="CQ18" s="3">
        <v>485.1324771412531</v>
      </c>
      <c r="CR18" s="3">
        <v>453.99912920229173</v>
      </c>
      <c r="CS18" s="3">
        <v>379.15555696741984</v>
      </c>
      <c r="CT18" s="3">
        <v>431.36433691804177</v>
      </c>
      <c r="CU18" s="7">
        <v>0.06</v>
      </c>
      <c r="CV18" s="7">
        <v>0.14000000000000001</v>
      </c>
      <c r="CW18" s="7">
        <v>7.0000000000000007E-2</v>
      </c>
      <c r="CX18" s="7">
        <v>0.04</v>
      </c>
      <c r="CY18" s="3">
        <f t="shared" si="1"/>
        <v>136.46328918123712</v>
      </c>
      <c r="CZ18">
        <v>1016</v>
      </c>
      <c r="DA18">
        <v>696</v>
      </c>
      <c r="DB18">
        <v>453990</v>
      </c>
      <c r="DC18">
        <v>1009</v>
      </c>
      <c r="DE18" t="s">
        <v>146</v>
      </c>
      <c r="DK18" s="5">
        <v>645.40342777194826</v>
      </c>
      <c r="DM18" s="5">
        <v>530.63767383059428</v>
      </c>
    </row>
    <row r="19" spans="1:117" x14ac:dyDescent="0.25">
      <c r="A19" t="s">
        <v>98</v>
      </c>
      <c r="B19" t="s">
        <v>116</v>
      </c>
      <c r="C19">
        <v>117.01348</v>
      </c>
      <c r="D19">
        <v>-32.386800000000001</v>
      </c>
      <c r="E19">
        <v>2014</v>
      </c>
      <c r="F19" t="s">
        <v>116</v>
      </c>
      <c r="G19" t="s">
        <v>139</v>
      </c>
      <c r="H19" t="s">
        <v>142</v>
      </c>
      <c r="I19">
        <v>24.8</v>
      </c>
      <c r="J19">
        <v>0.2</v>
      </c>
      <c r="K19">
        <v>982409.2</v>
      </c>
      <c r="L19">
        <v>12.89</v>
      </c>
      <c r="N19">
        <v>333.8</v>
      </c>
      <c r="O19">
        <v>42.2</v>
      </c>
      <c r="P19">
        <v>23.7</v>
      </c>
      <c r="Q19">
        <v>0</v>
      </c>
      <c r="R19">
        <v>812898.1</v>
      </c>
      <c r="S19">
        <v>13.29</v>
      </c>
      <c r="U19">
        <v>274.60000000000002</v>
      </c>
      <c r="V19">
        <v>42.6</v>
      </c>
      <c r="W19">
        <v>21.9</v>
      </c>
      <c r="X19">
        <v>7.6</v>
      </c>
      <c r="Y19">
        <v>676624.2</v>
      </c>
      <c r="Z19">
        <v>11.14</v>
      </c>
      <c r="AB19">
        <v>227.7</v>
      </c>
      <c r="AC19">
        <v>50.8</v>
      </c>
      <c r="AD19">
        <v>18.100000000000001</v>
      </c>
      <c r="AE19">
        <v>14.2</v>
      </c>
      <c r="AF19">
        <v>509360.6</v>
      </c>
      <c r="AG19">
        <v>7.8</v>
      </c>
      <c r="AI19">
        <v>146.6</v>
      </c>
      <c r="AJ19">
        <v>58</v>
      </c>
      <c r="AK19">
        <v>13.8</v>
      </c>
      <c r="AL19">
        <v>83.6</v>
      </c>
      <c r="AM19">
        <v>301002.2</v>
      </c>
      <c r="AN19">
        <v>8.43</v>
      </c>
      <c r="AP19">
        <v>62.6</v>
      </c>
      <c r="AQ19">
        <v>83.8</v>
      </c>
      <c r="AR19">
        <v>10.4</v>
      </c>
      <c r="AS19">
        <v>36.200000000000003</v>
      </c>
      <c r="AT19">
        <v>304105.59999999998</v>
      </c>
      <c r="AU19">
        <v>7.33</v>
      </c>
      <c r="AW19">
        <v>57</v>
      </c>
      <c r="AX19">
        <v>78.599999999999994</v>
      </c>
      <c r="AY19">
        <v>10.199999999999999</v>
      </c>
      <c r="AZ19">
        <v>67</v>
      </c>
      <c r="BA19">
        <v>315148.59999999998</v>
      </c>
      <c r="BB19">
        <v>8.39</v>
      </c>
      <c r="BD19">
        <v>57</v>
      </c>
      <c r="BE19">
        <v>84.4</v>
      </c>
      <c r="BF19">
        <v>11.9</v>
      </c>
      <c r="BG19">
        <v>70.400000000000006</v>
      </c>
      <c r="BH19">
        <v>430403.5</v>
      </c>
      <c r="BI19">
        <v>7.64</v>
      </c>
      <c r="BK19">
        <v>86.5</v>
      </c>
      <c r="BL19">
        <v>80.099999999999994</v>
      </c>
      <c r="BM19">
        <v>13.2</v>
      </c>
      <c r="BN19">
        <v>44.2</v>
      </c>
      <c r="BO19">
        <v>552737.6</v>
      </c>
      <c r="BP19">
        <v>9.07</v>
      </c>
      <c r="BR19">
        <v>114.1</v>
      </c>
      <c r="BS19">
        <v>80.900000000000006</v>
      </c>
      <c r="BT19">
        <v>16.5</v>
      </c>
      <c r="BU19">
        <v>20.399999999999999</v>
      </c>
      <c r="BV19">
        <v>758649.7</v>
      </c>
      <c r="BW19">
        <v>9.7100000000000009</v>
      </c>
      <c r="BY19">
        <v>194.2</v>
      </c>
      <c r="BZ19">
        <v>65.400000000000006</v>
      </c>
      <c r="CA19">
        <v>19</v>
      </c>
      <c r="CB19">
        <v>13.8</v>
      </c>
      <c r="CC19">
        <v>852923.2</v>
      </c>
      <c r="CD19">
        <v>11.79</v>
      </c>
      <c r="CF19">
        <v>253.6</v>
      </c>
      <c r="CG19">
        <v>52.6</v>
      </c>
      <c r="CH19">
        <v>21.5</v>
      </c>
      <c r="CI19">
        <v>0.2</v>
      </c>
      <c r="CJ19">
        <v>1006065.6</v>
      </c>
      <c r="CK19">
        <v>13.09</v>
      </c>
      <c r="CM19">
        <v>313.39999999999998</v>
      </c>
      <c r="CN19">
        <v>45.5</v>
      </c>
      <c r="CP19" s="3">
        <v>283.32452813333333</v>
      </c>
      <c r="CQ19" s="3">
        <v>368.2939243092531</v>
      </c>
      <c r="CR19" s="3">
        <v>330.59328943508331</v>
      </c>
      <c r="CS19" s="3">
        <v>279.4513129062604</v>
      </c>
      <c r="CT19" s="3">
        <v>325.40383910199995</v>
      </c>
      <c r="CU19" s="7">
        <v>0.06</v>
      </c>
      <c r="CV19" s="7">
        <v>0.14000000000000001</v>
      </c>
      <c r="CW19" s="7">
        <v>7.0000000000000007E-2</v>
      </c>
      <c r="CX19" s="7">
        <v>0.04</v>
      </c>
      <c r="CY19" s="3">
        <f t="shared" si="1"/>
        <v>100.95844144698508</v>
      </c>
      <c r="CZ19">
        <v>1638</v>
      </c>
      <c r="DA19">
        <v>683</v>
      </c>
      <c r="DB19">
        <v>566200</v>
      </c>
      <c r="DC19">
        <v>1514</v>
      </c>
      <c r="DE19" t="s">
        <v>146</v>
      </c>
      <c r="DK19" s="5">
        <v>1040.5224554039874</v>
      </c>
      <c r="DM19" s="5">
        <v>520.72633796881587</v>
      </c>
    </row>
    <row r="20" spans="1:117" x14ac:dyDescent="0.25">
      <c r="A20" t="s">
        <v>98</v>
      </c>
      <c r="B20" t="s">
        <v>116</v>
      </c>
      <c r="C20">
        <v>117.01348</v>
      </c>
      <c r="D20">
        <v>-32.386800000000001</v>
      </c>
      <c r="E20">
        <v>2015</v>
      </c>
      <c r="F20" t="s">
        <v>116</v>
      </c>
      <c r="G20" t="s">
        <v>139</v>
      </c>
      <c r="H20" t="s">
        <v>142</v>
      </c>
      <c r="I20">
        <v>24.8</v>
      </c>
      <c r="J20">
        <v>6</v>
      </c>
      <c r="K20">
        <v>950079.4</v>
      </c>
      <c r="L20">
        <v>14.1</v>
      </c>
      <c r="N20">
        <v>334.8</v>
      </c>
      <c r="O20">
        <v>38.799999999999997</v>
      </c>
      <c r="P20">
        <v>24.9</v>
      </c>
      <c r="Q20">
        <v>4.8</v>
      </c>
      <c r="R20">
        <v>628532.1</v>
      </c>
      <c r="S20">
        <v>12.55</v>
      </c>
      <c r="U20">
        <v>229.7</v>
      </c>
      <c r="V20">
        <v>43.5</v>
      </c>
      <c r="W20">
        <v>19.600000000000001</v>
      </c>
      <c r="X20">
        <v>7.4</v>
      </c>
      <c r="Y20">
        <v>343151.9</v>
      </c>
      <c r="Z20">
        <v>11.56</v>
      </c>
      <c r="AB20">
        <v>97.3</v>
      </c>
      <c r="AC20">
        <v>59.2</v>
      </c>
      <c r="AD20">
        <v>17.100000000000001</v>
      </c>
      <c r="AE20">
        <v>33.6</v>
      </c>
      <c r="AF20">
        <v>466040.9</v>
      </c>
      <c r="AG20">
        <v>10.49</v>
      </c>
      <c r="AI20">
        <v>133.1</v>
      </c>
      <c r="AJ20">
        <v>64.400000000000006</v>
      </c>
      <c r="AK20">
        <v>12.7</v>
      </c>
      <c r="AL20">
        <v>30.2</v>
      </c>
      <c r="AM20">
        <v>393100.79999999999</v>
      </c>
      <c r="AN20">
        <v>8.7899999999999991</v>
      </c>
      <c r="AP20">
        <v>95.5</v>
      </c>
      <c r="AQ20">
        <v>72.599999999999994</v>
      </c>
      <c r="AR20">
        <v>12.2</v>
      </c>
      <c r="AS20">
        <v>32.4</v>
      </c>
      <c r="AT20">
        <v>304512.5</v>
      </c>
      <c r="AU20">
        <v>8.73</v>
      </c>
      <c r="AW20">
        <v>64.900000000000006</v>
      </c>
      <c r="AX20">
        <v>80</v>
      </c>
      <c r="AY20">
        <v>11</v>
      </c>
      <c r="AZ20">
        <v>47.6</v>
      </c>
      <c r="BA20">
        <v>284945.2</v>
      </c>
      <c r="BB20">
        <v>7.65</v>
      </c>
      <c r="BD20">
        <v>55.6</v>
      </c>
      <c r="BE20">
        <v>82.4</v>
      </c>
      <c r="BF20">
        <v>11.2</v>
      </c>
      <c r="BG20">
        <v>59.4</v>
      </c>
      <c r="BH20">
        <v>403339.3</v>
      </c>
      <c r="BI20">
        <v>8.81</v>
      </c>
      <c r="BK20">
        <v>76.5</v>
      </c>
      <c r="BL20">
        <v>82.2</v>
      </c>
      <c r="BM20">
        <v>13.1</v>
      </c>
      <c r="BN20">
        <v>16.2</v>
      </c>
      <c r="BO20">
        <v>611215.9</v>
      </c>
      <c r="BP20">
        <v>9.16</v>
      </c>
      <c r="BR20">
        <v>147.69999999999999</v>
      </c>
      <c r="BS20">
        <v>65.599999999999994</v>
      </c>
      <c r="BT20">
        <v>18.899999999999999</v>
      </c>
      <c r="BU20">
        <v>15</v>
      </c>
      <c r="BV20">
        <v>685900.9</v>
      </c>
      <c r="BW20">
        <v>10.5</v>
      </c>
      <c r="BY20">
        <v>207.8</v>
      </c>
      <c r="BZ20">
        <v>54.7</v>
      </c>
      <c r="CA20">
        <v>21.4</v>
      </c>
      <c r="CB20">
        <v>9</v>
      </c>
      <c r="CC20">
        <v>871801.8</v>
      </c>
      <c r="CD20">
        <v>11.93</v>
      </c>
      <c r="CF20">
        <v>272.2</v>
      </c>
      <c r="CG20">
        <v>48.9</v>
      </c>
      <c r="CH20">
        <v>22.6</v>
      </c>
      <c r="CI20">
        <v>27.8</v>
      </c>
      <c r="CJ20">
        <v>955890.7</v>
      </c>
      <c r="CK20">
        <v>13.04</v>
      </c>
      <c r="CM20">
        <v>311.8</v>
      </c>
      <c r="CN20">
        <v>43.1</v>
      </c>
      <c r="CP20" s="3">
        <v>204.8839893083333</v>
      </c>
      <c r="CQ20" s="3">
        <v>357.71587473362189</v>
      </c>
      <c r="CR20" s="3">
        <v>322.98543302087501</v>
      </c>
      <c r="CS20" s="3">
        <v>251.33925340010413</v>
      </c>
      <c r="CT20" s="3">
        <v>238.07175714163543</v>
      </c>
      <c r="CU20" s="7">
        <v>0.06</v>
      </c>
      <c r="CV20" s="7">
        <v>0.14000000000000001</v>
      </c>
      <c r="CW20" s="7">
        <v>7.0000000000000007E-2</v>
      </c>
      <c r="CX20" s="7">
        <v>0.04</v>
      </c>
      <c r="CY20" s="3">
        <f t="shared" si="1"/>
        <v>93.797531130612526</v>
      </c>
      <c r="CZ20">
        <v>1468</v>
      </c>
      <c r="DA20">
        <v>695</v>
      </c>
      <c r="DB20">
        <v>628010</v>
      </c>
      <c r="DC20">
        <v>1524</v>
      </c>
      <c r="DE20" t="s">
        <v>146</v>
      </c>
      <c r="DK20" s="5">
        <v>932.5317243791535</v>
      </c>
      <c r="DM20" s="5">
        <v>529.87526337968825</v>
      </c>
    </row>
    <row r="21" spans="1:117" x14ac:dyDescent="0.25">
      <c r="A21" t="s">
        <v>98</v>
      </c>
      <c r="B21" t="s">
        <v>116</v>
      </c>
      <c r="C21">
        <v>117.01348</v>
      </c>
      <c r="D21">
        <v>-32.386800000000001</v>
      </c>
      <c r="E21">
        <v>2016</v>
      </c>
      <c r="F21" t="s">
        <v>116</v>
      </c>
      <c r="G21" t="s">
        <v>139</v>
      </c>
      <c r="H21" t="s">
        <v>142</v>
      </c>
      <c r="I21">
        <v>23.7</v>
      </c>
      <c r="J21">
        <v>71.8</v>
      </c>
      <c r="K21">
        <v>781559.6</v>
      </c>
      <c r="L21">
        <v>13.09</v>
      </c>
      <c r="N21">
        <v>265.7</v>
      </c>
      <c r="O21">
        <v>54</v>
      </c>
      <c r="P21">
        <v>24.2</v>
      </c>
      <c r="Q21">
        <v>0.4</v>
      </c>
      <c r="R21">
        <v>847501.3</v>
      </c>
      <c r="S21">
        <v>13.61</v>
      </c>
      <c r="U21">
        <v>288.8</v>
      </c>
      <c r="V21">
        <v>42.3</v>
      </c>
      <c r="W21">
        <v>22</v>
      </c>
      <c r="X21">
        <v>48.8</v>
      </c>
      <c r="Y21">
        <v>614430</v>
      </c>
      <c r="Z21">
        <v>12.85</v>
      </c>
      <c r="AB21">
        <v>203.7</v>
      </c>
      <c r="AC21">
        <v>57.6</v>
      </c>
      <c r="AD21">
        <v>17.399999999999999</v>
      </c>
      <c r="AE21">
        <v>84.6</v>
      </c>
      <c r="AF21">
        <v>400897.6</v>
      </c>
      <c r="AG21">
        <v>9.52</v>
      </c>
      <c r="AI21">
        <v>105.9</v>
      </c>
      <c r="AJ21">
        <v>74.2</v>
      </c>
      <c r="AK21">
        <v>12.3</v>
      </c>
      <c r="AL21">
        <v>35.200000000000003</v>
      </c>
      <c r="AM21">
        <v>363756.5</v>
      </c>
      <c r="AN21">
        <v>7.32</v>
      </c>
      <c r="AP21">
        <v>72.400000000000006</v>
      </c>
      <c r="AQ21">
        <v>83.6</v>
      </c>
      <c r="AR21">
        <v>10.4</v>
      </c>
      <c r="AS21">
        <v>43</v>
      </c>
      <c r="AT21">
        <v>297496.40000000002</v>
      </c>
      <c r="AU21">
        <v>7.91</v>
      </c>
      <c r="AW21">
        <v>54.3</v>
      </c>
      <c r="AX21">
        <v>85</v>
      </c>
      <c r="AY21">
        <v>9.1</v>
      </c>
      <c r="AZ21">
        <v>51</v>
      </c>
      <c r="BA21">
        <v>345286.9</v>
      </c>
      <c r="BB21">
        <v>9.09</v>
      </c>
      <c r="BD21">
        <v>64.3</v>
      </c>
      <c r="BE21">
        <v>83.7</v>
      </c>
      <c r="BF21">
        <v>9.4</v>
      </c>
      <c r="BG21">
        <v>66.599999999999994</v>
      </c>
      <c r="BH21">
        <v>389364.2</v>
      </c>
      <c r="BI21">
        <v>9.07</v>
      </c>
      <c r="BK21">
        <v>70.400000000000006</v>
      </c>
      <c r="BL21">
        <v>84.9</v>
      </c>
      <c r="BM21">
        <v>9.8000000000000007</v>
      </c>
      <c r="BN21">
        <v>35.799999999999997</v>
      </c>
      <c r="BO21">
        <v>539058.19999999995</v>
      </c>
      <c r="BP21">
        <v>9</v>
      </c>
      <c r="BR21">
        <v>104.4</v>
      </c>
      <c r="BS21">
        <v>79.8</v>
      </c>
      <c r="BT21">
        <v>13.8</v>
      </c>
      <c r="BU21">
        <v>11.6</v>
      </c>
      <c r="BV21">
        <v>788956.1</v>
      </c>
      <c r="BW21">
        <v>10.86</v>
      </c>
      <c r="BY21">
        <v>196.3</v>
      </c>
      <c r="BZ21">
        <v>64.599999999999994</v>
      </c>
      <c r="CA21">
        <v>20.100000000000001</v>
      </c>
      <c r="CB21">
        <v>4.2</v>
      </c>
      <c r="CC21">
        <v>911257.5</v>
      </c>
      <c r="CD21">
        <v>10.56</v>
      </c>
      <c r="CF21">
        <v>278.60000000000002</v>
      </c>
      <c r="CG21">
        <v>43.6</v>
      </c>
      <c r="CH21">
        <v>21.3</v>
      </c>
      <c r="CI21">
        <v>33.200000000000003</v>
      </c>
      <c r="CJ21">
        <v>997908.8</v>
      </c>
      <c r="CK21">
        <v>12.45</v>
      </c>
      <c r="CM21">
        <v>309</v>
      </c>
      <c r="CN21">
        <v>45.1</v>
      </c>
      <c r="CP21" s="3">
        <v>133.12695639999998</v>
      </c>
      <c r="CQ21" s="3">
        <v>265.94031967119787</v>
      </c>
      <c r="CR21" s="3">
        <v>244.36784107392498</v>
      </c>
      <c r="CS21" s="3">
        <v>168.48709864302083</v>
      </c>
      <c r="CT21" s="3">
        <v>219.627445633875</v>
      </c>
      <c r="CU21" s="7">
        <v>0.06</v>
      </c>
      <c r="CV21" s="7">
        <v>0.14000000000000001</v>
      </c>
      <c r="CW21" s="7">
        <v>7.0000000000000007E-2</v>
      </c>
      <c r="CX21" s="7">
        <v>0.04</v>
      </c>
      <c r="CY21" s="3">
        <f t="shared" si="1"/>
        <v>70.747111660987827</v>
      </c>
      <c r="CZ21">
        <v>1426</v>
      </c>
      <c r="DA21">
        <v>702</v>
      </c>
      <c r="DB21">
        <v>459370</v>
      </c>
      <c r="DC21">
        <v>1326</v>
      </c>
      <c r="DE21" t="s">
        <v>146</v>
      </c>
      <c r="DK21" s="5">
        <v>905.85166142007688</v>
      </c>
      <c r="DM21" s="5">
        <v>535.21213653603036</v>
      </c>
    </row>
    <row r="22" spans="1:117" x14ac:dyDescent="0.25">
      <c r="A22" t="s">
        <v>98</v>
      </c>
      <c r="B22" t="s">
        <v>116</v>
      </c>
      <c r="C22">
        <v>117.01348</v>
      </c>
      <c r="D22">
        <v>-32.386800000000001</v>
      </c>
      <c r="E22">
        <v>2017</v>
      </c>
      <c r="F22" t="s">
        <v>116</v>
      </c>
      <c r="G22" t="s">
        <v>139</v>
      </c>
      <c r="H22" t="s">
        <v>142</v>
      </c>
      <c r="I22">
        <v>24</v>
      </c>
      <c r="J22">
        <v>36.799999999999997</v>
      </c>
      <c r="K22">
        <v>945325</v>
      </c>
      <c r="L22">
        <v>11.72</v>
      </c>
      <c r="N22">
        <v>321.7</v>
      </c>
      <c r="O22">
        <v>40.700000000000003</v>
      </c>
      <c r="P22">
        <v>21.9</v>
      </c>
      <c r="Q22">
        <v>129.19999999999999</v>
      </c>
      <c r="R22">
        <v>674204.3</v>
      </c>
      <c r="S22">
        <v>12.44</v>
      </c>
      <c r="U22">
        <v>193.8</v>
      </c>
      <c r="V22">
        <v>60.3</v>
      </c>
      <c r="W22">
        <v>20.100000000000001</v>
      </c>
      <c r="X22">
        <v>19.399999999999999</v>
      </c>
      <c r="Y22">
        <v>668833.69999999995</v>
      </c>
      <c r="Z22">
        <v>11.76</v>
      </c>
      <c r="AB22">
        <v>202.4</v>
      </c>
      <c r="AC22">
        <v>59.4</v>
      </c>
      <c r="AD22">
        <v>18</v>
      </c>
      <c r="AE22">
        <v>3.8</v>
      </c>
      <c r="AF22">
        <v>541064</v>
      </c>
      <c r="AG22">
        <v>8.4</v>
      </c>
      <c r="AI22">
        <v>159</v>
      </c>
      <c r="AJ22">
        <v>57.8</v>
      </c>
      <c r="AK22">
        <v>14.3</v>
      </c>
      <c r="AL22">
        <v>22.8</v>
      </c>
      <c r="AM22">
        <v>375758.8</v>
      </c>
      <c r="AN22">
        <v>7.67</v>
      </c>
      <c r="AP22">
        <v>96</v>
      </c>
      <c r="AQ22">
        <v>68.8</v>
      </c>
      <c r="AR22">
        <v>12.4</v>
      </c>
      <c r="AS22">
        <v>24.4</v>
      </c>
      <c r="AT22">
        <v>325254.59999999998</v>
      </c>
      <c r="AU22">
        <v>7.62</v>
      </c>
      <c r="AW22">
        <v>82.9</v>
      </c>
      <c r="AX22">
        <v>69.3</v>
      </c>
      <c r="AY22">
        <v>10.3</v>
      </c>
      <c r="AZ22">
        <v>88</v>
      </c>
      <c r="BA22">
        <v>295210.90000000002</v>
      </c>
      <c r="BB22">
        <v>9.18</v>
      </c>
      <c r="BD22">
        <v>54.4</v>
      </c>
      <c r="BE22">
        <v>86.8</v>
      </c>
      <c r="BF22">
        <v>10.7</v>
      </c>
      <c r="BG22">
        <v>84.8</v>
      </c>
      <c r="BH22">
        <v>380812.9</v>
      </c>
      <c r="BI22">
        <v>8.48</v>
      </c>
      <c r="BK22">
        <v>69.900000000000006</v>
      </c>
      <c r="BL22">
        <v>84.6</v>
      </c>
      <c r="BM22">
        <v>12.5</v>
      </c>
      <c r="BN22">
        <v>52.4</v>
      </c>
      <c r="BO22">
        <v>510233.4</v>
      </c>
      <c r="BP22">
        <v>6.43</v>
      </c>
      <c r="BR22">
        <v>103.1</v>
      </c>
      <c r="BS22">
        <v>76.5</v>
      </c>
      <c r="BT22">
        <v>15.1</v>
      </c>
      <c r="BU22">
        <v>18</v>
      </c>
      <c r="BV22">
        <v>747537.4</v>
      </c>
      <c r="BW22">
        <v>8.98</v>
      </c>
      <c r="BY22">
        <v>181.3</v>
      </c>
      <c r="BZ22">
        <v>65.7</v>
      </c>
      <c r="CA22">
        <v>21.1</v>
      </c>
      <c r="CB22">
        <v>12.8</v>
      </c>
      <c r="CC22">
        <v>866930.3</v>
      </c>
      <c r="CD22">
        <v>11.49</v>
      </c>
      <c r="CF22">
        <v>270.7</v>
      </c>
      <c r="CG22">
        <v>46.5</v>
      </c>
      <c r="CH22">
        <v>22.6</v>
      </c>
      <c r="CI22">
        <v>14</v>
      </c>
      <c r="CJ22">
        <v>966158.9</v>
      </c>
      <c r="CK22">
        <v>11.79</v>
      </c>
      <c r="CM22">
        <v>304.5</v>
      </c>
      <c r="CN22">
        <v>43</v>
      </c>
      <c r="CP22" s="3">
        <v>119.07146077499999</v>
      </c>
      <c r="CQ22" s="3">
        <v>235.14453102913441</v>
      </c>
      <c r="CR22" s="3">
        <v>211.74875985799997</v>
      </c>
      <c r="CS22" s="3">
        <v>150.26687985202918</v>
      </c>
      <c r="CT22" s="3">
        <v>166.58352970400003</v>
      </c>
      <c r="CU22" s="7">
        <v>0.06</v>
      </c>
      <c r="CV22" s="7">
        <v>0.14000000000000001</v>
      </c>
      <c r="CW22" s="7">
        <v>7.0000000000000007E-2</v>
      </c>
      <c r="CX22" s="7">
        <v>0.04</v>
      </c>
      <c r="CY22" s="3">
        <f t="shared" si="1"/>
        <v>60.935521019670105</v>
      </c>
      <c r="CZ22">
        <v>1498</v>
      </c>
      <c r="DA22">
        <v>652</v>
      </c>
      <c r="DB22">
        <v>501380</v>
      </c>
      <c r="DC22">
        <v>1435</v>
      </c>
      <c r="DE22" t="s">
        <v>146</v>
      </c>
      <c r="DK22" s="5">
        <v>951.58891220706539</v>
      </c>
      <c r="DM22" s="5">
        <v>497.09161399072912</v>
      </c>
    </row>
    <row r="23" spans="1:117" x14ac:dyDescent="0.25">
      <c r="A23" t="s">
        <v>98</v>
      </c>
      <c r="B23" t="s">
        <v>116</v>
      </c>
      <c r="C23">
        <v>117.01348</v>
      </c>
      <c r="D23">
        <v>-32.386800000000001</v>
      </c>
      <c r="E23">
        <v>2018</v>
      </c>
      <c r="F23" t="s">
        <v>116</v>
      </c>
      <c r="G23" t="s">
        <v>139</v>
      </c>
      <c r="H23" t="s">
        <v>142</v>
      </c>
      <c r="I23">
        <v>23.5</v>
      </c>
      <c r="J23">
        <v>45.2</v>
      </c>
      <c r="K23">
        <v>944392.1</v>
      </c>
      <c r="L23">
        <v>14.04</v>
      </c>
      <c r="N23">
        <v>310.10000000000002</v>
      </c>
      <c r="O23">
        <v>47.7</v>
      </c>
      <c r="P23">
        <v>23.2</v>
      </c>
      <c r="Q23">
        <v>17.2</v>
      </c>
      <c r="R23">
        <v>751002</v>
      </c>
      <c r="S23">
        <v>11.83</v>
      </c>
      <c r="U23">
        <v>241.1</v>
      </c>
      <c r="V23">
        <v>52.8</v>
      </c>
      <c r="W23">
        <v>22.1</v>
      </c>
      <c r="X23">
        <v>3.4</v>
      </c>
      <c r="Y23">
        <v>686681.8</v>
      </c>
      <c r="Z23">
        <v>12.38</v>
      </c>
      <c r="AB23">
        <v>220.2</v>
      </c>
      <c r="AC23">
        <v>58.5</v>
      </c>
      <c r="AD23">
        <v>18.100000000000001</v>
      </c>
      <c r="AE23">
        <v>5.8</v>
      </c>
      <c r="AF23">
        <v>493375.8</v>
      </c>
      <c r="AG23">
        <v>9.23</v>
      </c>
      <c r="AI23">
        <v>136.69999999999999</v>
      </c>
      <c r="AJ23">
        <v>69.3</v>
      </c>
      <c r="AK23">
        <v>15</v>
      </c>
      <c r="AL23">
        <v>34</v>
      </c>
      <c r="AM23">
        <v>414810.8</v>
      </c>
      <c r="AN23">
        <v>9.66</v>
      </c>
      <c r="AP23">
        <v>122.4</v>
      </c>
      <c r="AQ23">
        <v>63.8</v>
      </c>
      <c r="AR23">
        <v>11.2</v>
      </c>
      <c r="AS23">
        <v>67</v>
      </c>
      <c r="AT23">
        <v>290758.2</v>
      </c>
      <c r="AU23">
        <v>7.02</v>
      </c>
      <c r="AW23">
        <v>50</v>
      </c>
      <c r="AX23">
        <v>88</v>
      </c>
      <c r="AY23">
        <v>11.1</v>
      </c>
      <c r="AZ23">
        <v>76.2</v>
      </c>
      <c r="BA23">
        <v>323464.8</v>
      </c>
      <c r="BB23">
        <v>9.57</v>
      </c>
      <c r="BD23">
        <v>56</v>
      </c>
      <c r="BE23">
        <v>90.7</v>
      </c>
      <c r="BF23">
        <v>9.8000000000000007</v>
      </c>
      <c r="BG23">
        <v>74.8</v>
      </c>
      <c r="BH23">
        <v>423363.7</v>
      </c>
      <c r="BI23">
        <v>8.82</v>
      </c>
      <c r="BK23">
        <v>73.599999999999994</v>
      </c>
      <c r="BL23">
        <v>89.6</v>
      </c>
      <c r="BM23">
        <v>11.7</v>
      </c>
      <c r="BN23">
        <v>5.8</v>
      </c>
      <c r="BO23">
        <v>556928.9</v>
      </c>
      <c r="BP23">
        <v>7.72</v>
      </c>
      <c r="BR23">
        <v>114.7</v>
      </c>
      <c r="BS23">
        <v>80.400000000000006</v>
      </c>
      <c r="BT23">
        <v>16</v>
      </c>
      <c r="BU23">
        <v>32.4</v>
      </c>
      <c r="BV23">
        <v>617974.4</v>
      </c>
      <c r="BW23">
        <v>10.73</v>
      </c>
      <c r="BY23">
        <v>159.80000000000001</v>
      </c>
      <c r="BZ23">
        <v>72</v>
      </c>
      <c r="CA23">
        <v>18.2</v>
      </c>
      <c r="CB23">
        <v>0.6</v>
      </c>
      <c r="CC23">
        <v>861868.6</v>
      </c>
      <c r="CD23">
        <v>11.98</v>
      </c>
      <c r="CF23">
        <v>248.6</v>
      </c>
      <c r="CG23">
        <v>52.4</v>
      </c>
      <c r="CH23">
        <v>22.9</v>
      </c>
      <c r="CI23">
        <v>1.2</v>
      </c>
      <c r="CJ23">
        <v>839767.6</v>
      </c>
      <c r="CK23">
        <v>11.5</v>
      </c>
      <c r="CM23">
        <v>275.60000000000002</v>
      </c>
      <c r="CN23">
        <v>42.4</v>
      </c>
      <c r="CP23" s="3">
        <v>149.45420497500001</v>
      </c>
      <c r="CQ23" s="3">
        <v>274.57347051901041</v>
      </c>
      <c r="CR23" s="3">
        <v>237.4236465424917</v>
      </c>
      <c r="CS23" s="3">
        <v>174.41377918435418</v>
      </c>
      <c r="CT23" s="3">
        <v>166.56083829114584</v>
      </c>
      <c r="CU23" s="7">
        <v>0.06</v>
      </c>
      <c r="CV23" s="7">
        <v>0.14000000000000001</v>
      </c>
      <c r="CW23" s="7">
        <v>7.0000000000000007E-2</v>
      </c>
      <c r="CX23" s="7">
        <v>0.04</v>
      </c>
      <c r="CY23" s="3">
        <f t="shared" si="1"/>
        <v>68.585116821640085</v>
      </c>
      <c r="CZ23">
        <v>1364</v>
      </c>
      <c r="DA23">
        <v>600</v>
      </c>
      <c r="DB23">
        <v>496060</v>
      </c>
      <c r="DC23">
        <v>1349</v>
      </c>
      <c r="DE23" t="s">
        <v>146</v>
      </c>
      <c r="DK23" s="5">
        <v>866.46680657572574</v>
      </c>
      <c r="DM23" s="5">
        <v>457.44627054361575</v>
      </c>
    </row>
    <row r="24" spans="1:117" x14ac:dyDescent="0.25">
      <c r="A24" t="s">
        <v>98</v>
      </c>
      <c r="B24" t="s">
        <v>116</v>
      </c>
      <c r="C24">
        <v>117.01348</v>
      </c>
      <c r="D24">
        <v>-32.386800000000001</v>
      </c>
      <c r="E24">
        <v>2019</v>
      </c>
      <c r="F24" t="s">
        <v>116</v>
      </c>
      <c r="G24" t="s">
        <v>139</v>
      </c>
      <c r="H24" t="s">
        <v>142</v>
      </c>
      <c r="I24">
        <v>23.6</v>
      </c>
      <c r="J24">
        <v>0</v>
      </c>
      <c r="K24">
        <v>992221.5</v>
      </c>
      <c r="L24">
        <v>11.99</v>
      </c>
      <c r="N24">
        <v>323.89999999999998</v>
      </c>
      <c r="O24">
        <v>41.3</v>
      </c>
      <c r="P24">
        <v>23.9</v>
      </c>
      <c r="Q24">
        <v>4</v>
      </c>
      <c r="R24">
        <v>809585.2</v>
      </c>
      <c r="S24">
        <v>12.12</v>
      </c>
      <c r="U24">
        <v>272.2</v>
      </c>
      <c r="V24">
        <v>43.5</v>
      </c>
      <c r="W24">
        <v>21.9</v>
      </c>
      <c r="X24">
        <v>5.4</v>
      </c>
      <c r="Y24">
        <v>662932.6</v>
      </c>
      <c r="Z24">
        <v>11.07</v>
      </c>
      <c r="AB24">
        <v>228</v>
      </c>
      <c r="AC24">
        <v>46.6</v>
      </c>
      <c r="AD24">
        <v>17.600000000000001</v>
      </c>
      <c r="AE24">
        <v>11.6</v>
      </c>
      <c r="AF24">
        <v>328620.7</v>
      </c>
      <c r="AG24">
        <v>10.050000000000001</v>
      </c>
      <c r="AI24">
        <v>112.2</v>
      </c>
      <c r="AJ24">
        <v>59.4</v>
      </c>
      <c r="AK24">
        <v>12.9</v>
      </c>
      <c r="AL24">
        <v>5.8</v>
      </c>
      <c r="AM24">
        <v>341496.6</v>
      </c>
      <c r="AN24">
        <v>7.79</v>
      </c>
      <c r="AP24">
        <v>93.2</v>
      </c>
      <c r="AQ24">
        <v>63.3</v>
      </c>
      <c r="AR24">
        <v>11.8</v>
      </c>
      <c r="AS24">
        <v>93.8</v>
      </c>
      <c r="AT24">
        <v>289933.7</v>
      </c>
      <c r="AU24">
        <v>10.11</v>
      </c>
      <c r="AW24">
        <v>73.7</v>
      </c>
      <c r="AX24">
        <v>72.900000000000006</v>
      </c>
      <c r="AY24">
        <v>11.2</v>
      </c>
      <c r="AZ24">
        <v>42.4</v>
      </c>
      <c r="BA24">
        <v>326920.59999999998</v>
      </c>
      <c r="BB24">
        <v>7.34</v>
      </c>
      <c r="BD24">
        <v>59.8</v>
      </c>
      <c r="BE24">
        <v>82.6</v>
      </c>
      <c r="BF24">
        <v>11.4</v>
      </c>
      <c r="BG24">
        <v>82.8</v>
      </c>
      <c r="BH24">
        <v>439712.8</v>
      </c>
      <c r="BI24">
        <v>7.96</v>
      </c>
      <c r="BK24">
        <v>89.4</v>
      </c>
      <c r="BL24">
        <v>76.3</v>
      </c>
      <c r="BM24">
        <v>13.8</v>
      </c>
      <c r="BN24">
        <v>9.6</v>
      </c>
      <c r="BO24">
        <v>617447.30000000005</v>
      </c>
      <c r="BP24">
        <v>7.6</v>
      </c>
      <c r="BR24">
        <v>137.5</v>
      </c>
      <c r="BS24">
        <v>73.400000000000006</v>
      </c>
      <c r="BT24">
        <v>16.8</v>
      </c>
      <c r="BU24">
        <v>11.4</v>
      </c>
      <c r="BV24">
        <v>757629.9</v>
      </c>
      <c r="BW24">
        <v>9.84</v>
      </c>
      <c r="BY24">
        <v>207.4</v>
      </c>
      <c r="BZ24">
        <v>60.8</v>
      </c>
      <c r="CA24">
        <v>20.7</v>
      </c>
      <c r="CB24">
        <v>3.8</v>
      </c>
      <c r="CC24">
        <v>926104.7</v>
      </c>
      <c r="CD24">
        <v>12.55</v>
      </c>
      <c r="CF24">
        <v>284.2</v>
      </c>
      <c r="CG24">
        <v>46.1</v>
      </c>
      <c r="CH24">
        <v>25.8</v>
      </c>
      <c r="CI24">
        <v>0.6</v>
      </c>
      <c r="CJ24">
        <v>977811.8</v>
      </c>
      <c r="CK24">
        <v>11.78</v>
      </c>
      <c r="CM24">
        <v>337.9</v>
      </c>
      <c r="CN24">
        <v>38.700000000000003</v>
      </c>
      <c r="CP24" s="3">
        <v>151.20769046666666</v>
      </c>
      <c r="CQ24" s="3">
        <v>267.33967790703502</v>
      </c>
      <c r="CR24" s="3">
        <v>246.94953969827165</v>
      </c>
      <c r="CS24" s="3">
        <v>186.82042264949916</v>
      </c>
      <c r="CT24" s="3">
        <v>164.67061180174997</v>
      </c>
      <c r="CU24" s="7">
        <v>0.06</v>
      </c>
      <c r="CV24" s="7">
        <v>0.14000000000000001</v>
      </c>
      <c r="CW24" s="7">
        <v>7.0000000000000007E-2</v>
      </c>
      <c r="CX24" s="7">
        <v>0.04</v>
      </c>
      <c r="CY24" s="3">
        <f t="shared" si="1"/>
        <v>70.277570289715072</v>
      </c>
      <c r="CZ24">
        <v>1772</v>
      </c>
      <c r="DA24">
        <v>669</v>
      </c>
      <c r="DB24">
        <v>656390</v>
      </c>
      <c r="DC24">
        <v>1780</v>
      </c>
      <c r="DE24" t="s">
        <v>146</v>
      </c>
      <c r="DK24" s="5">
        <v>1125.6445610353271</v>
      </c>
      <c r="DM24" s="5">
        <v>510.05259165613154</v>
      </c>
    </row>
    <row r="25" spans="1:117" x14ac:dyDescent="0.25">
      <c r="A25" t="s">
        <v>98</v>
      </c>
      <c r="B25" t="s">
        <v>116</v>
      </c>
      <c r="C25">
        <v>117.01348</v>
      </c>
      <c r="D25">
        <v>-32.386800000000001</v>
      </c>
      <c r="E25">
        <v>2020</v>
      </c>
      <c r="F25" t="s">
        <v>116</v>
      </c>
      <c r="G25" t="s">
        <v>139</v>
      </c>
      <c r="H25" t="s">
        <v>142</v>
      </c>
      <c r="I25">
        <v>23.9</v>
      </c>
      <c r="J25">
        <v>0.4</v>
      </c>
      <c r="K25">
        <v>977570.6</v>
      </c>
      <c r="L25">
        <v>13.53</v>
      </c>
      <c r="N25">
        <v>326.8</v>
      </c>
      <c r="O25">
        <v>43.8</v>
      </c>
      <c r="P25">
        <v>24.4</v>
      </c>
      <c r="Q25">
        <v>42.8</v>
      </c>
      <c r="R25">
        <v>694038.2</v>
      </c>
      <c r="S25">
        <v>14.6</v>
      </c>
      <c r="U25">
        <v>247.1</v>
      </c>
      <c r="V25">
        <v>52.1</v>
      </c>
      <c r="W25">
        <v>21.7</v>
      </c>
      <c r="X25">
        <v>11.6</v>
      </c>
      <c r="Y25">
        <v>661778.6</v>
      </c>
      <c r="Z25">
        <v>11.49</v>
      </c>
      <c r="AB25">
        <v>211.9</v>
      </c>
      <c r="AC25">
        <v>56.3</v>
      </c>
      <c r="AD25">
        <v>18.899999999999999</v>
      </c>
      <c r="AE25">
        <v>8.1999999999999993</v>
      </c>
      <c r="AF25">
        <v>487128</v>
      </c>
      <c r="AG25">
        <v>10.09</v>
      </c>
      <c r="AI25">
        <v>153.4</v>
      </c>
      <c r="AJ25">
        <v>59.3</v>
      </c>
      <c r="AK25">
        <v>13.8</v>
      </c>
      <c r="AL25">
        <v>45</v>
      </c>
      <c r="AM25">
        <v>373086.6</v>
      </c>
      <c r="AN25">
        <v>10.43</v>
      </c>
      <c r="AP25">
        <v>103</v>
      </c>
      <c r="AQ25">
        <v>67.400000000000006</v>
      </c>
      <c r="AR25">
        <v>12.7</v>
      </c>
      <c r="AS25">
        <v>59</v>
      </c>
      <c r="AT25">
        <v>296837.5</v>
      </c>
      <c r="AU25">
        <v>8.42</v>
      </c>
      <c r="AW25">
        <v>67.2</v>
      </c>
      <c r="AX25">
        <v>74.400000000000006</v>
      </c>
      <c r="AY25">
        <v>10.199999999999999</v>
      </c>
      <c r="AZ25">
        <v>30.2</v>
      </c>
      <c r="BA25">
        <v>367559.8</v>
      </c>
      <c r="BB25">
        <v>7.75</v>
      </c>
      <c r="BD25">
        <v>68.2</v>
      </c>
      <c r="BE25">
        <v>81.3</v>
      </c>
      <c r="BF25">
        <v>10.9</v>
      </c>
      <c r="BG25">
        <v>44.8</v>
      </c>
      <c r="BH25">
        <v>463862.7</v>
      </c>
      <c r="BI25">
        <v>8.99</v>
      </c>
      <c r="BK25">
        <v>89.5</v>
      </c>
      <c r="BL25">
        <v>80.2</v>
      </c>
      <c r="BM25">
        <v>13.2</v>
      </c>
      <c r="BN25">
        <v>37.6</v>
      </c>
      <c r="BO25">
        <v>581213.6</v>
      </c>
      <c r="BP25">
        <v>9.58</v>
      </c>
      <c r="BR25">
        <v>139.1</v>
      </c>
      <c r="BS25">
        <v>73.099999999999994</v>
      </c>
      <c r="BT25">
        <v>17.3</v>
      </c>
      <c r="BU25">
        <v>1.4</v>
      </c>
      <c r="BV25">
        <v>787265.8</v>
      </c>
      <c r="BW25">
        <v>9.61</v>
      </c>
      <c r="BY25">
        <v>220.4</v>
      </c>
      <c r="BZ25">
        <v>56.1</v>
      </c>
      <c r="CA25">
        <v>18.3</v>
      </c>
      <c r="CB25">
        <v>49</v>
      </c>
      <c r="CC25">
        <v>788562.7</v>
      </c>
      <c r="CD25">
        <v>10.33</v>
      </c>
      <c r="CF25">
        <v>219.9</v>
      </c>
      <c r="CG25">
        <v>59.2</v>
      </c>
      <c r="CH25">
        <v>23.5</v>
      </c>
      <c r="CI25">
        <v>0</v>
      </c>
      <c r="CJ25">
        <v>994493.2</v>
      </c>
      <c r="CK25">
        <v>12.88</v>
      </c>
      <c r="CM25">
        <v>329.6</v>
      </c>
      <c r="CN25">
        <v>40.4</v>
      </c>
      <c r="CP25" s="3">
        <v>137.12151142499999</v>
      </c>
      <c r="CQ25" s="3">
        <v>183.94377395835087</v>
      </c>
      <c r="CR25" s="3">
        <v>171.50265380089249</v>
      </c>
      <c r="CS25" s="3">
        <v>153.47587761539251</v>
      </c>
      <c r="CT25" s="3">
        <v>168.62831412656331</v>
      </c>
      <c r="CU25" s="7">
        <v>0.06</v>
      </c>
      <c r="CV25" s="7">
        <v>0.14000000000000001</v>
      </c>
      <c r="CW25" s="7">
        <v>7.0000000000000007E-2</v>
      </c>
      <c r="CX25" s="7">
        <v>0.04</v>
      </c>
      <c r="CY25" s="3">
        <f t="shared" si="1"/>
        <v>52.535441967766019</v>
      </c>
      <c r="CZ25">
        <v>1005</v>
      </c>
      <c r="DA25">
        <v>646</v>
      </c>
      <c r="DB25">
        <v>524950</v>
      </c>
      <c r="DC25">
        <v>1056</v>
      </c>
      <c r="DE25" t="s">
        <v>146</v>
      </c>
      <c r="DK25" s="5">
        <v>638.41579223504721</v>
      </c>
      <c r="DM25" s="5">
        <v>492.51715128529293</v>
      </c>
    </row>
    <row r="26" spans="1:117" x14ac:dyDescent="0.25">
      <c r="A26" t="s">
        <v>99</v>
      </c>
      <c r="B26" t="s">
        <v>117</v>
      </c>
      <c r="C26">
        <v>117.1358</v>
      </c>
      <c r="D26">
        <v>-30.993200000000002</v>
      </c>
      <c r="E26">
        <v>2013</v>
      </c>
      <c r="F26" t="s">
        <v>134</v>
      </c>
      <c r="G26" t="s">
        <v>139</v>
      </c>
      <c r="H26" t="s">
        <v>142</v>
      </c>
      <c r="I26">
        <v>26</v>
      </c>
      <c r="J26">
        <v>53.8</v>
      </c>
      <c r="K26">
        <v>932114</v>
      </c>
      <c r="L26">
        <v>17.329999999999998</v>
      </c>
      <c r="N26">
        <v>360.3</v>
      </c>
      <c r="O26">
        <v>44.9</v>
      </c>
      <c r="P26">
        <v>27</v>
      </c>
      <c r="Q26">
        <v>6.2</v>
      </c>
      <c r="R26">
        <v>785417.6</v>
      </c>
      <c r="S26">
        <v>16.059999999999999</v>
      </c>
      <c r="U26">
        <v>289.10000000000002</v>
      </c>
      <c r="V26">
        <v>35.5</v>
      </c>
      <c r="W26">
        <v>21.5</v>
      </c>
      <c r="X26">
        <v>41.4</v>
      </c>
      <c r="Y26">
        <v>707985.4</v>
      </c>
      <c r="Z26">
        <v>13.22</v>
      </c>
      <c r="AB26">
        <v>270.10000000000002</v>
      </c>
      <c r="AC26">
        <v>57.3</v>
      </c>
      <c r="AD26">
        <v>22</v>
      </c>
      <c r="AE26">
        <v>8.1999999999999993</v>
      </c>
      <c r="AF26">
        <v>1264335.3</v>
      </c>
      <c r="AG26">
        <v>10.26</v>
      </c>
      <c r="AI26">
        <v>319</v>
      </c>
      <c r="AJ26">
        <v>55.4</v>
      </c>
      <c r="AK26">
        <v>14.6</v>
      </c>
      <c r="AL26">
        <v>39.4</v>
      </c>
      <c r="AM26">
        <v>364114.4</v>
      </c>
      <c r="AN26">
        <v>11.81</v>
      </c>
      <c r="AP26">
        <v>84.9</v>
      </c>
      <c r="AQ26">
        <v>72.2</v>
      </c>
      <c r="AR26">
        <v>11.7</v>
      </c>
      <c r="AS26">
        <v>4.8</v>
      </c>
      <c r="AT26">
        <v>325618.8</v>
      </c>
      <c r="AU26">
        <v>10.45</v>
      </c>
      <c r="AW26">
        <v>85.7</v>
      </c>
      <c r="AX26">
        <v>70.099999999999994</v>
      </c>
      <c r="AY26">
        <v>10.9</v>
      </c>
      <c r="AZ26">
        <v>27.6</v>
      </c>
      <c r="BA26">
        <v>363423.9</v>
      </c>
      <c r="BB26">
        <v>11.74</v>
      </c>
      <c r="BD26">
        <v>75.8</v>
      </c>
      <c r="BE26">
        <v>70.7</v>
      </c>
      <c r="BF26">
        <v>13.1</v>
      </c>
      <c r="BG26">
        <v>38.799999999999997</v>
      </c>
      <c r="BH26">
        <v>475845.1</v>
      </c>
      <c r="BI26">
        <v>11.78</v>
      </c>
      <c r="BK26">
        <v>124.4</v>
      </c>
      <c r="BL26">
        <v>79.2</v>
      </c>
      <c r="BM26">
        <v>13.9</v>
      </c>
      <c r="BN26">
        <v>53</v>
      </c>
      <c r="BO26">
        <v>569038.4</v>
      </c>
      <c r="BP26">
        <v>14.19</v>
      </c>
      <c r="BR26">
        <v>146.30000000000001</v>
      </c>
      <c r="BS26">
        <v>76.599999999999994</v>
      </c>
      <c r="BT26">
        <v>17.899999999999999</v>
      </c>
      <c r="BU26">
        <v>23</v>
      </c>
      <c r="BV26">
        <v>43546.3</v>
      </c>
      <c r="BW26">
        <v>12.52</v>
      </c>
      <c r="BY26">
        <v>15.3</v>
      </c>
      <c r="BZ26">
        <v>55.7</v>
      </c>
      <c r="CA26">
        <v>23.1</v>
      </c>
      <c r="CB26">
        <v>0.4</v>
      </c>
      <c r="CC26">
        <v>875183.6</v>
      </c>
      <c r="CD26">
        <v>17.23</v>
      </c>
      <c r="CF26">
        <v>313</v>
      </c>
      <c r="CG26">
        <v>42.8</v>
      </c>
      <c r="CH26">
        <v>25</v>
      </c>
      <c r="CI26">
        <v>0.2</v>
      </c>
      <c r="CJ26">
        <v>973160</v>
      </c>
      <c r="CK26">
        <v>15.83</v>
      </c>
      <c r="CM26">
        <v>357.2</v>
      </c>
      <c r="CN26">
        <v>36.1</v>
      </c>
      <c r="CP26" s="3">
        <v>344.25478384166667</v>
      </c>
      <c r="CQ26" s="3">
        <v>485.1324771412531</v>
      </c>
      <c r="CR26" s="3">
        <v>453.99912920229173</v>
      </c>
      <c r="CS26" s="3">
        <v>379.15555696741984</v>
      </c>
      <c r="CT26" s="3">
        <v>431.36433691804177</v>
      </c>
      <c r="CU26" s="7">
        <v>0.06</v>
      </c>
      <c r="CV26" s="7">
        <v>0.14000000000000001</v>
      </c>
      <c r="CW26" s="7">
        <v>7.0000000000000007E-2</v>
      </c>
      <c r="CX26" s="7">
        <v>0.04</v>
      </c>
      <c r="CY26" s="3">
        <f t="shared" si="1"/>
        <v>136.46328918123712</v>
      </c>
      <c r="CZ26">
        <v>1016</v>
      </c>
      <c r="DA26">
        <v>696</v>
      </c>
      <c r="DB26">
        <v>453990</v>
      </c>
      <c r="DC26">
        <v>1009</v>
      </c>
      <c r="DE26" t="s">
        <v>147</v>
      </c>
      <c r="DK26" s="5">
        <v>1760.1054154305875</v>
      </c>
      <c r="DM26" s="5">
        <v>1448.9544411668305</v>
      </c>
    </row>
    <row r="27" spans="1:117" x14ac:dyDescent="0.25">
      <c r="A27" t="s">
        <v>99</v>
      </c>
      <c r="B27" t="s">
        <v>117</v>
      </c>
      <c r="C27">
        <v>117.1358</v>
      </c>
      <c r="D27">
        <v>-30.993200000000002</v>
      </c>
      <c r="E27">
        <v>2014</v>
      </c>
      <c r="F27" t="s">
        <v>134</v>
      </c>
      <c r="G27" t="s">
        <v>139</v>
      </c>
      <c r="H27" t="s">
        <v>142</v>
      </c>
      <c r="I27">
        <v>26.5</v>
      </c>
      <c r="J27">
        <v>6.4</v>
      </c>
      <c r="K27">
        <v>932114</v>
      </c>
      <c r="L27">
        <v>17.760000000000002</v>
      </c>
      <c r="N27">
        <v>360.3</v>
      </c>
      <c r="O27">
        <v>40.9</v>
      </c>
      <c r="P27">
        <v>26.1</v>
      </c>
      <c r="Q27">
        <v>7.2</v>
      </c>
      <c r="R27">
        <v>785417.6</v>
      </c>
      <c r="S27">
        <v>17.190000000000001</v>
      </c>
      <c r="U27">
        <v>289.10000000000002</v>
      </c>
      <c r="V27">
        <v>40.700000000000003</v>
      </c>
      <c r="W27">
        <v>24.2</v>
      </c>
      <c r="X27">
        <v>5.2</v>
      </c>
      <c r="Y27">
        <v>707985.4</v>
      </c>
      <c r="Z27">
        <v>14.87</v>
      </c>
      <c r="AB27">
        <v>270.10000000000002</v>
      </c>
      <c r="AC27">
        <v>43.7</v>
      </c>
      <c r="AD27">
        <v>19.7</v>
      </c>
      <c r="AE27">
        <v>191</v>
      </c>
      <c r="AF27">
        <v>1264335.3</v>
      </c>
      <c r="AG27">
        <v>10.82</v>
      </c>
      <c r="AI27">
        <v>319</v>
      </c>
      <c r="AJ27">
        <v>53.8</v>
      </c>
      <c r="AK27">
        <v>15</v>
      </c>
      <c r="AL27">
        <v>111.4</v>
      </c>
      <c r="AM27">
        <v>364114.4</v>
      </c>
      <c r="AN27">
        <v>11.28</v>
      </c>
      <c r="AP27">
        <v>84.9</v>
      </c>
      <c r="AQ27">
        <v>79.400000000000006</v>
      </c>
      <c r="AR27">
        <v>11.6</v>
      </c>
      <c r="AS27">
        <v>32.799999999999997</v>
      </c>
      <c r="AT27">
        <v>325618.8</v>
      </c>
      <c r="AU27">
        <v>11.29</v>
      </c>
      <c r="AW27">
        <v>85.7</v>
      </c>
      <c r="AX27">
        <v>71.5</v>
      </c>
      <c r="AY27">
        <v>11</v>
      </c>
      <c r="AZ27">
        <v>54.4</v>
      </c>
      <c r="BA27">
        <v>363423.9</v>
      </c>
      <c r="BB27">
        <v>11.64</v>
      </c>
      <c r="BD27">
        <v>75.8</v>
      </c>
      <c r="BE27">
        <v>82.8</v>
      </c>
      <c r="BF27">
        <v>14.1</v>
      </c>
      <c r="BG27">
        <v>30.8</v>
      </c>
      <c r="BH27">
        <v>475845.1</v>
      </c>
      <c r="BI27">
        <v>10.35</v>
      </c>
      <c r="BK27">
        <v>124.4</v>
      </c>
      <c r="BL27">
        <v>67.7</v>
      </c>
      <c r="BM27">
        <v>15.4</v>
      </c>
      <c r="BN27">
        <v>31.8</v>
      </c>
      <c r="BO27">
        <v>569038.4</v>
      </c>
      <c r="BP27">
        <v>10.99</v>
      </c>
      <c r="BR27">
        <v>146.30000000000001</v>
      </c>
      <c r="BS27">
        <v>67.599999999999994</v>
      </c>
      <c r="BT27">
        <v>18.899999999999999</v>
      </c>
      <c r="BU27">
        <v>9.1999999999999993</v>
      </c>
      <c r="BV27">
        <v>774741.8</v>
      </c>
      <c r="BW27">
        <v>11.43</v>
      </c>
      <c r="BY27">
        <v>235.3</v>
      </c>
      <c r="BZ27">
        <v>53.3</v>
      </c>
      <c r="CA27">
        <v>20.9</v>
      </c>
      <c r="CB27">
        <v>9.1999999999999993</v>
      </c>
      <c r="CC27">
        <v>851276</v>
      </c>
      <c r="CD27">
        <v>14.17</v>
      </c>
      <c r="CF27">
        <v>278.60000000000002</v>
      </c>
      <c r="CG27">
        <v>47.5</v>
      </c>
      <c r="CH27">
        <v>23.5</v>
      </c>
      <c r="CI27">
        <v>7.6</v>
      </c>
      <c r="CJ27">
        <v>976578</v>
      </c>
      <c r="CK27">
        <v>16.11</v>
      </c>
      <c r="CM27">
        <v>341.8</v>
      </c>
      <c r="CN27">
        <v>40.1</v>
      </c>
      <c r="CP27" s="3">
        <v>283.32452813333333</v>
      </c>
      <c r="CQ27" s="3">
        <v>368.2939243092531</v>
      </c>
      <c r="CR27" s="3">
        <v>330.59328943508331</v>
      </c>
      <c r="CS27" s="3">
        <v>279.4513129062604</v>
      </c>
      <c r="CT27" s="3">
        <v>325.40383910199995</v>
      </c>
      <c r="CU27" s="7">
        <v>0.06</v>
      </c>
      <c r="CV27" s="7">
        <v>0.14000000000000001</v>
      </c>
      <c r="CW27" s="7">
        <v>7.0000000000000007E-2</v>
      </c>
      <c r="CX27" s="7">
        <v>0.04</v>
      </c>
      <c r="CY27" s="3">
        <f t="shared" si="1"/>
        <v>100.95844144698508</v>
      </c>
      <c r="CZ27">
        <v>1638</v>
      </c>
      <c r="DA27">
        <v>683</v>
      </c>
      <c r="DB27">
        <v>566200</v>
      </c>
      <c r="DC27">
        <v>1514</v>
      </c>
      <c r="DE27" t="s">
        <v>147</v>
      </c>
      <c r="DK27" s="5">
        <v>2837.6502662158487</v>
      </c>
      <c r="DM27" s="5">
        <v>1421.890636949634</v>
      </c>
    </row>
    <row r="28" spans="1:117" x14ac:dyDescent="0.25">
      <c r="A28" t="s">
        <v>99</v>
      </c>
      <c r="B28" t="s">
        <v>117</v>
      </c>
      <c r="C28">
        <v>117.1358</v>
      </c>
      <c r="D28">
        <v>-30.993200000000002</v>
      </c>
      <c r="E28">
        <v>2015</v>
      </c>
      <c r="F28" t="s">
        <v>134</v>
      </c>
      <c r="G28" t="s">
        <v>139</v>
      </c>
      <c r="H28" t="s">
        <v>142</v>
      </c>
      <c r="I28">
        <v>27</v>
      </c>
      <c r="J28">
        <v>0</v>
      </c>
      <c r="K28">
        <v>854820</v>
      </c>
      <c r="L28">
        <v>15.91</v>
      </c>
      <c r="N28">
        <v>347.3</v>
      </c>
      <c r="O28">
        <v>31.8</v>
      </c>
      <c r="P28">
        <v>27.4</v>
      </c>
      <c r="Q28">
        <v>13.6</v>
      </c>
      <c r="R28">
        <v>699181.4</v>
      </c>
      <c r="S28">
        <v>14.17</v>
      </c>
      <c r="U28">
        <v>267.89999999999998</v>
      </c>
      <c r="V28">
        <v>41</v>
      </c>
      <c r="W28">
        <v>22.1</v>
      </c>
      <c r="X28">
        <v>49.2</v>
      </c>
      <c r="Y28">
        <v>651070.19999999995</v>
      </c>
      <c r="Z28">
        <v>13.99</v>
      </c>
      <c r="AB28">
        <v>228.2</v>
      </c>
      <c r="AC28">
        <v>53.4</v>
      </c>
      <c r="AD28">
        <v>17.899999999999999</v>
      </c>
      <c r="AE28">
        <v>16.8</v>
      </c>
      <c r="AF28">
        <v>468737.7</v>
      </c>
      <c r="AG28">
        <v>13.35</v>
      </c>
      <c r="AI28">
        <v>149.4</v>
      </c>
      <c r="AJ28">
        <v>59.5</v>
      </c>
      <c r="AK28">
        <v>13.9</v>
      </c>
      <c r="AL28">
        <v>21</v>
      </c>
      <c r="AM28">
        <v>435894.4</v>
      </c>
      <c r="AN28">
        <v>11.96</v>
      </c>
      <c r="AP28">
        <v>128</v>
      </c>
      <c r="AQ28">
        <v>62.4</v>
      </c>
      <c r="AR28">
        <v>13.2</v>
      </c>
      <c r="AS28">
        <v>44.6</v>
      </c>
      <c r="AT28">
        <v>342900</v>
      </c>
      <c r="AU28">
        <v>12.93</v>
      </c>
      <c r="AW28">
        <v>94</v>
      </c>
      <c r="AX28">
        <v>70.599999999999994</v>
      </c>
      <c r="AY28">
        <v>11.6</v>
      </c>
      <c r="AZ28">
        <v>89.6</v>
      </c>
      <c r="BA28">
        <v>323776.2</v>
      </c>
      <c r="BB28">
        <v>10.78</v>
      </c>
      <c r="BD28">
        <v>82.4</v>
      </c>
      <c r="BE28">
        <v>74</v>
      </c>
      <c r="BF28">
        <v>11.5</v>
      </c>
      <c r="BG28">
        <v>54.2</v>
      </c>
      <c r="BH28">
        <v>425226.2</v>
      </c>
      <c r="BI28">
        <v>11.49</v>
      </c>
      <c r="BK28">
        <v>82.5</v>
      </c>
      <c r="BL28">
        <v>81</v>
      </c>
      <c r="BM28">
        <v>13.9</v>
      </c>
      <c r="BN28">
        <v>2.6</v>
      </c>
      <c r="BO28">
        <v>624936.69999999995</v>
      </c>
      <c r="BP28">
        <v>11.31</v>
      </c>
      <c r="BR28">
        <v>166.4</v>
      </c>
      <c r="BS28">
        <v>61</v>
      </c>
      <c r="BT28">
        <v>20.399999999999999</v>
      </c>
      <c r="BU28">
        <v>1.2</v>
      </c>
      <c r="BV28">
        <v>704183.9</v>
      </c>
      <c r="BW28">
        <v>11.83</v>
      </c>
      <c r="BY28">
        <v>230.9</v>
      </c>
      <c r="BZ28">
        <v>48.6</v>
      </c>
      <c r="CA28">
        <v>10.199999999999999</v>
      </c>
      <c r="CB28">
        <v>48.6</v>
      </c>
      <c r="CC28">
        <v>409770.5</v>
      </c>
      <c r="CD28">
        <v>13.71</v>
      </c>
      <c r="CF28">
        <v>112.1</v>
      </c>
      <c r="CG28">
        <v>61.4</v>
      </c>
      <c r="CH28">
        <v>22.8</v>
      </c>
      <c r="CI28">
        <v>7</v>
      </c>
      <c r="CJ28">
        <v>931344.1</v>
      </c>
      <c r="CK28">
        <v>16.48</v>
      </c>
      <c r="CM28">
        <v>317</v>
      </c>
      <c r="CN28">
        <v>39.1</v>
      </c>
      <c r="CP28" s="3">
        <v>204.8839893083333</v>
      </c>
      <c r="CQ28" s="3">
        <v>357.71587473362189</v>
      </c>
      <c r="CR28" s="3">
        <v>322.98543302087501</v>
      </c>
      <c r="CS28" s="3">
        <v>251.33925340010413</v>
      </c>
      <c r="CT28" s="3">
        <v>238.07175714163543</v>
      </c>
      <c r="CU28" s="7">
        <v>0.06</v>
      </c>
      <c r="CV28" s="7">
        <v>0.14000000000000001</v>
      </c>
      <c r="CW28" s="7">
        <v>7.0000000000000007E-2</v>
      </c>
      <c r="CX28" s="7">
        <v>0.04</v>
      </c>
      <c r="CY28" s="3">
        <f t="shared" si="1"/>
        <v>93.797531130612526</v>
      </c>
      <c r="CZ28">
        <v>1468</v>
      </c>
      <c r="DA28">
        <v>695</v>
      </c>
      <c r="DB28">
        <v>628010</v>
      </c>
      <c r="DC28">
        <v>1524</v>
      </c>
      <c r="DE28" t="s">
        <v>147</v>
      </c>
      <c r="DK28" s="5">
        <v>2543.1444388308096</v>
      </c>
      <c r="DM28" s="5">
        <v>1446.8726100731999</v>
      </c>
    </row>
    <row r="29" spans="1:117" x14ac:dyDescent="0.25">
      <c r="A29" t="s">
        <v>99</v>
      </c>
      <c r="B29" t="s">
        <v>117</v>
      </c>
      <c r="C29">
        <v>117.1358</v>
      </c>
      <c r="D29">
        <v>-30.993200000000002</v>
      </c>
      <c r="E29">
        <v>2016</v>
      </c>
      <c r="F29" t="s">
        <v>134</v>
      </c>
      <c r="G29" t="s">
        <v>139</v>
      </c>
      <c r="H29" t="s">
        <v>142</v>
      </c>
      <c r="I29">
        <v>26.2</v>
      </c>
      <c r="J29">
        <v>20.8</v>
      </c>
      <c r="K29">
        <v>500714.9</v>
      </c>
      <c r="L29">
        <v>16.690000000000001</v>
      </c>
      <c r="N29">
        <v>189.5</v>
      </c>
      <c r="O29">
        <v>50</v>
      </c>
      <c r="P29">
        <v>25.6</v>
      </c>
      <c r="Q29">
        <v>0.4</v>
      </c>
      <c r="R29">
        <v>859820</v>
      </c>
      <c r="S29">
        <v>16.600000000000001</v>
      </c>
      <c r="U29">
        <v>324.7</v>
      </c>
      <c r="V29">
        <v>36.6</v>
      </c>
      <c r="W29">
        <v>23.4</v>
      </c>
      <c r="X29">
        <v>68.400000000000006</v>
      </c>
      <c r="Y29">
        <v>645100.4</v>
      </c>
      <c r="Z29">
        <v>15.74</v>
      </c>
      <c r="AB29">
        <v>233</v>
      </c>
      <c r="AC29">
        <v>54.8</v>
      </c>
      <c r="AD29">
        <v>18.3</v>
      </c>
      <c r="AE29">
        <v>59</v>
      </c>
      <c r="AF29">
        <v>432249.1</v>
      </c>
      <c r="AG29">
        <v>12.34</v>
      </c>
      <c r="AI29">
        <v>126.1</v>
      </c>
      <c r="AJ29">
        <v>70.7</v>
      </c>
      <c r="AK29">
        <v>13.2</v>
      </c>
      <c r="AL29">
        <v>55.2</v>
      </c>
      <c r="AM29">
        <v>417958.1</v>
      </c>
      <c r="AN29">
        <v>9.26</v>
      </c>
      <c r="AP29">
        <v>94.4</v>
      </c>
      <c r="AQ29">
        <v>76.099999999999994</v>
      </c>
      <c r="AR29">
        <v>11</v>
      </c>
      <c r="AS29">
        <v>38.6</v>
      </c>
      <c r="AT29">
        <v>308419.09999999998</v>
      </c>
      <c r="AU29">
        <v>10.33</v>
      </c>
      <c r="AW29">
        <v>64.8</v>
      </c>
      <c r="AX29">
        <v>80.3</v>
      </c>
      <c r="AY29">
        <v>9.6999999999999993</v>
      </c>
      <c r="AZ29">
        <v>45</v>
      </c>
      <c r="BA29">
        <v>365473.1</v>
      </c>
      <c r="BB29">
        <v>10.99</v>
      </c>
      <c r="BD29">
        <v>70.7</v>
      </c>
      <c r="BE29">
        <v>81.599999999999994</v>
      </c>
      <c r="BF29">
        <v>9.9</v>
      </c>
      <c r="BG29">
        <v>36.200000000000003</v>
      </c>
      <c r="BH29">
        <v>425728.8</v>
      </c>
      <c r="BI29">
        <v>10.29</v>
      </c>
      <c r="BK29">
        <v>87.5</v>
      </c>
      <c r="BL29">
        <v>79.599999999999994</v>
      </c>
      <c r="BM29">
        <v>10.5</v>
      </c>
      <c r="BN29">
        <v>14.6</v>
      </c>
      <c r="BO29">
        <v>573602.80000000005</v>
      </c>
      <c r="BP29">
        <v>9.3800000000000008</v>
      </c>
      <c r="BR29">
        <v>121.8</v>
      </c>
      <c r="BS29">
        <v>72.900000000000006</v>
      </c>
      <c r="BT29">
        <v>15.3</v>
      </c>
      <c r="BU29">
        <v>7.8</v>
      </c>
      <c r="BV29">
        <v>814547.1</v>
      </c>
      <c r="BW29">
        <v>12.19</v>
      </c>
      <c r="BY29">
        <v>227.4</v>
      </c>
      <c r="BZ29">
        <v>56.8</v>
      </c>
      <c r="CA29">
        <v>21.5</v>
      </c>
      <c r="CB29">
        <v>0</v>
      </c>
      <c r="CC29">
        <v>916118.2</v>
      </c>
      <c r="CD29">
        <v>12.37</v>
      </c>
      <c r="CF29">
        <v>307.5</v>
      </c>
      <c r="CG29">
        <v>38.1</v>
      </c>
      <c r="CH29">
        <v>22.7</v>
      </c>
      <c r="CI29">
        <v>15.4</v>
      </c>
      <c r="CJ29">
        <v>956323.7</v>
      </c>
      <c r="CK29">
        <v>15.35</v>
      </c>
      <c r="CM29">
        <v>330.6</v>
      </c>
      <c r="CN29">
        <v>41.7</v>
      </c>
      <c r="CP29" s="3">
        <v>133.12695639999998</v>
      </c>
      <c r="CQ29" s="3">
        <v>265.94031967119787</v>
      </c>
      <c r="CR29" s="3">
        <v>244.36784107392498</v>
      </c>
      <c r="CS29" s="3">
        <v>168.48709864302083</v>
      </c>
      <c r="CT29" s="3">
        <v>219.627445633875</v>
      </c>
      <c r="CU29" s="7">
        <v>0.06</v>
      </c>
      <c r="CV29" s="7">
        <v>0.14000000000000001</v>
      </c>
      <c r="CW29" s="7">
        <v>7.0000000000000007E-2</v>
      </c>
      <c r="CX29" s="7">
        <v>0.04</v>
      </c>
      <c r="CY29" s="3">
        <f t="shared" si="1"/>
        <v>70.747111660987827</v>
      </c>
      <c r="CZ29">
        <v>1426</v>
      </c>
      <c r="DA29">
        <v>702</v>
      </c>
      <c r="DB29">
        <v>459370</v>
      </c>
      <c r="DC29">
        <v>1326</v>
      </c>
      <c r="DE29" t="s">
        <v>147</v>
      </c>
      <c r="DK29" s="5">
        <v>2470.3841755945059</v>
      </c>
      <c r="DM29" s="5">
        <v>1461.4454277286136</v>
      </c>
    </row>
    <row r="30" spans="1:117" x14ac:dyDescent="0.25">
      <c r="A30" t="s">
        <v>99</v>
      </c>
      <c r="B30" t="s">
        <v>117</v>
      </c>
      <c r="C30">
        <v>117.1358</v>
      </c>
      <c r="D30">
        <v>-30.993200000000002</v>
      </c>
      <c r="E30">
        <v>2017</v>
      </c>
      <c r="F30" t="s">
        <v>134</v>
      </c>
      <c r="G30" t="s">
        <v>139</v>
      </c>
      <c r="H30" t="s">
        <v>142</v>
      </c>
      <c r="I30">
        <v>25.5</v>
      </c>
      <c r="J30">
        <v>88</v>
      </c>
      <c r="K30">
        <v>898778.3</v>
      </c>
      <c r="L30">
        <v>14.31</v>
      </c>
      <c r="N30">
        <v>335.5</v>
      </c>
      <c r="O30">
        <v>38.200000000000003</v>
      </c>
      <c r="P30">
        <v>23.7</v>
      </c>
      <c r="Q30">
        <v>52.6</v>
      </c>
      <c r="R30">
        <v>677616.2</v>
      </c>
      <c r="S30">
        <v>15.08</v>
      </c>
      <c r="U30">
        <v>215.2</v>
      </c>
      <c r="V30">
        <v>58.5</v>
      </c>
      <c r="W30">
        <v>22.4</v>
      </c>
      <c r="X30">
        <v>10.6</v>
      </c>
      <c r="Y30">
        <v>368828.7</v>
      </c>
      <c r="Z30">
        <v>11.43</v>
      </c>
      <c r="AB30">
        <v>122.7</v>
      </c>
      <c r="AC30">
        <v>51.2</v>
      </c>
      <c r="AD30">
        <v>19.600000000000001</v>
      </c>
      <c r="AE30">
        <v>0.2</v>
      </c>
      <c r="AF30">
        <v>391871.8</v>
      </c>
      <c r="AG30">
        <v>10.43</v>
      </c>
      <c r="AI30">
        <v>138.80000000000001</v>
      </c>
      <c r="AJ30">
        <v>47</v>
      </c>
      <c r="AK30">
        <v>14</v>
      </c>
      <c r="AL30">
        <v>15.2</v>
      </c>
      <c r="AM30">
        <v>274045.7</v>
      </c>
      <c r="AN30">
        <v>10.1</v>
      </c>
      <c r="AP30">
        <v>69.2</v>
      </c>
      <c r="AQ30">
        <v>67</v>
      </c>
      <c r="AR30">
        <v>12.8</v>
      </c>
      <c r="AS30">
        <v>10</v>
      </c>
      <c r="AT30">
        <v>348810.6</v>
      </c>
      <c r="AU30">
        <v>10.5</v>
      </c>
      <c r="AW30">
        <v>107.4</v>
      </c>
      <c r="AX30">
        <v>60</v>
      </c>
      <c r="AY30">
        <v>11.3</v>
      </c>
      <c r="AZ30">
        <v>34.799999999999997</v>
      </c>
      <c r="BA30">
        <v>345039.7</v>
      </c>
      <c r="BB30">
        <v>12.98</v>
      </c>
      <c r="BD30">
        <v>81.2</v>
      </c>
      <c r="BE30">
        <v>78.400000000000006</v>
      </c>
      <c r="BF30">
        <v>11.2</v>
      </c>
      <c r="BG30">
        <v>46</v>
      </c>
      <c r="BH30">
        <v>413822.5</v>
      </c>
      <c r="BI30">
        <v>11.71</v>
      </c>
      <c r="BK30">
        <v>88.5</v>
      </c>
      <c r="BL30">
        <v>78.5</v>
      </c>
      <c r="BM30">
        <v>13.7</v>
      </c>
      <c r="BN30">
        <v>23.4</v>
      </c>
      <c r="BO30">
        <v>560129</v>
      </c>
      <c r="BP30">
        <v>10.88</v>
      </c>
      <c r="BR30">
        <v>139.4</v>
      </c>
      <c r="BS30">
        <v>67.599999999999994</v>
      </c>
      <c r="BT30">
        <v>16.600000000000001</v>
      </c>
      <c r="BU30">
        <v>32</v>
      </c>
      <c r="BV30">
        <v>774179.6</v>
      </c>
      <c r="BW30">
        <v>13.22</v>
      </c>
      <c r="BY30">
        <v>222.5</v>
      </c>
      <c r="BZ30">
        <v>57.3</v>
      </c>
      <c r="CA30">
        <v>22.4</v>
      </c>
      <c r="CB30">
        <v>14.4</v>
      </c>
      <c r="CC30">
        <v>880717.2</v>
      </c>
      <c r="CD30">
        <v>14.65</v>
      </c>
      <c r="CF30">
        <v>299.8</v>
      </c>
      <c r="CG30">
        <v>43.8</v>
      </c>
      <c r="CH30">
        <v>24.1</v>
      </c>
      <c r="CI30">
        <v>4</v>
      </c>
      <c r="CJ30">
        <v>932455.5</v>
      </c>
      <c r="CK30">
        <v>15.69</v>
      </c>
      <c r="CM30">
        <v>333.2</v>
      </c>
      <c r="CN30">
        <v>38.700000000000003</v>
      </c>
      <c r="CP30" s="3">
        <v>119.07146077499999</v>
      </c>
      <c r="CQ30" s="3">
        <v>235.14453102913441</v>
      </c>
      <c r="CR30" s="3">
        <v>211.74875985799997</v>
      </c>
      <c r="CS30" s="3">
        <v>150.26687985202918</v>
      </c>
      <c r="CT30" s="3">
        <v>166.58352970400003</v>
      </c>
      <c r="CU30" s="7">
        <v>0.06</v>
      </c>
      <c r="CV30" s="7">
        <v>0.14000000000000001</v>
      </c>
      <c r="CW30" s="7">
        <v>7.0000000000000007E-2</v>
      </c>
      <c r="CX30" s="7">
        <v>0.04</v>
      </c>
      <c r="CY30" s="3">
        <f t="shared" si="1"/>
        <v>60.935521019670105</v>
      </c>
      <c r="CZ30">
        <v>1498</v>
      </c>
      <c r="DA30">
        <v>652</v>
      </c>
      <c r="DB30">
        <v>501380</v>
      </c>
      <c r="DC30">
        <v>1435</v>
      </c>
      <c r="DE30" t="s">
        <v>147</v>
      </c>
      <c r="DK30" s="5">
        <v>2595.1160554281696</v>
      </c>
      <c r="DM30" s="5">
        <v>1357.3538730470884</v>
      </c>
    </row>
    <row r="31" spans="1:117" x14ac:dyDescent="0.25">
      <c r="A31" t="s">
        <v>99</v>
      </c>
      <c r="B31" t="s">
        <v>117</v>
      </c>
      <c r="C31">
        <v>117.1358</v>
      </c>
      <c r="D31">
        <v>-30.993200000000002</v>
      </c>
      <c r="E31">
        <v>2018</v>
      </c>
      <c r="F31" t="s">
        <v>134</v>
      </c>
      <c r="G31" t="s">
        <v>139</v>
      </c>
      <c r="H31" t="s">
        <v>142</v>
      </c>
      <c r="I31">
        <v>25.2</v>
      </c>
      <c r="J31">
        <v>36.4</v>
      </c>
      <c r="K31">
        <v>914215.9</v>
      </c>
      <c r="L31">
        <v>18.87</v>
      </c>
      <c r="N31">
        <v>339.4</v>
      </c>
      <c r="O31">
        <v>45.3</v>
      </c>
      <c r="P31">
        <v>24.8</v>
      </c>
      <c r="Q31">
        <v>16.600000000000001</v>
      </c>
      <c r="R31">
        <v>755113.3</v>
      </c>
      <c r="S31">
        <v>15.89</v>
      </c>
      <c r="U31">
        <v>270.60000000000002</v>
      </c>
      <c r="V31">
        <v>48.7</v>
      </c>
      <c r="W31">
        <v>24.3</v>
      </c>
      <c r="X31">
        <v>2</v>
      </c>
      <c r="Y31">
        <v>712535.1</v>
      </c>
      <c r="Z31">
        <v>16.61</v>
      </c>
      <c r="AB31">
        <v>280.7</v>
      </c>
      <c r="AC31">
        <v>44.9</v>
      </c>
      <c r="AD31">
        <v>19.2</v>
      </c>
      <c r="AE31">
        <v>1.6</v>
      </c>
      <c r="AF31">
        <v>546291.4</v>
      </c>
      <c r="AG31">
        <v>11.52</v>
      </c>
      <c r="AI31">
        <v>177</v>
      </c>
      <c r="AJ31">
        <v>56</v>
      </c>
      <c r="AK31">
        <v>15.5</v>
      </c>
      <c r="AL31">
        <v>17.8</v>
      </c>
      <c r="AM31">
        <v>439301</v>
      </c>
      <c r="AN31">
        <v>14.23</v>
      </c>
      <c r="AP31">
        <v>160.19999999999999</v>
      </c>
      <c r="AQ31">
        <v>51.9</v>
      </c>
      <c r="AR31">
        <v>12.3</v>
      </c>
      <c r="AS31">
        <v>40.6</v>
      </c>
      <c r="AT31">
        <v>313731.8</v>
      </c>
      <c r="AU31">
        <v>10.39</v>
      </c>
      <c r="AW31">
        <v>75.099999999999994</v>
      </c>
      <c r="AX31">
        <v>74.7</v>
      </c>
      <c r="AY31">
        <v>11.6</v>
      </c>
      <c r="AZ31">
        <v>75.599999999999994</v>
      </c>
      <c r="BA31">
        <v>342535.9</v>
      </c>
      <c r="BB31">
        <v>12.7</v>
      </c>
      <c r="BD31">
        <v>74.099999999999994</v>
      </c>
      <c r="BE31">
        <v>81.2</v>
      </c>
      <c r="BF31">
        <v>10.5</v>
      </c>
      <c r="BG31">
        <v>52.4</v>
      </c>
      <c r="BH31">
        <v>448878.4</v>
      </c>
      <c r="BI31">
        <v>11.99</v>
      </c>
      <c r="BK31">
        <v>92.5</v>
      </c>
      <c r="BL31">
        <v>79.3</v>
      </c>
      <c r="BM31">
        <v>13</v>
      </c>
      <c r="BN31">
        <v>9.1999999999999993</v>
      </c>
      <c r="BO31">
        <v>631995.69999999995</v>
      </c>
      <c r="BP31">
        <v>9.5</v>
      </c>
      <c r="BR31">
        <v>153.19999999999999</v>
      </c>
      <c r="BS31">
        <v>67.2</v>
      </c>
      <c r="BT31">
        <v>17.3</v>
      </c>
      <c r="BU31">
        <v>28.8</v>
      </c>
      <c r="BV31">
        <v>704663.2</v>
      </c>
      <c r="BW31">
        <v>11.73</v>
      </c>
      <c r="BY31">
        <v>197.5</v>
      </c>
      <c r="BZ31">
        <v>63.9</v>
      </c>
      <c r="CA31">
        <v>20</v>
      </c>
      <c r="CB31">
        <v>17</v>
      </c>
      <c r="CC31">
        <v>686396.1</v>
      </c>
      <c r="CD31">
        <v>12.39</v>
      </c>
      <c r="CF31">
        <v>206.7</v>
      </c>
      <c r="CG31">
        <v>46.8</v>
      </c>
      <c r="CH31">
        <v>24.2</v>
      </c>
      <c r="CI31">
        <v>3.4</v>
      </c>
      <c r="CJ31">
        <v>965120.9</v>
      </c>
      <c r="CK31">
        <v>13.64</v>
      </c>
      <c r="CM31">
        <v>335.8</v>
      </c>
      <c r="CN31">
        <v>39.1</v>
      </c>
      <c r="CP31" s="3">
        <v>149.45420497500001</v>
      </c>
      <c r="CQ31" s="3">
        <v>274.57347051901041</v>
      </c>
      <c r="CR31" s="3">
        <v>237.4236465424917</v>
      </c>
      <c r="CS31" s="3">
        <v>174.41377918435418</v>
      </c>
      <c r="CT31" s="3">
        <v>166.56083829114584</v>
      </c>
      <c r="CU31" s="7">
        <v>0.06</v>
      </c>
      <c r="CV31" s="7">
        <v>0.14000000000000001</v>
      </c>
      <c r="CW31" s="7">
        <v>7.0000000000000007E-2</v>
      </c>
      <c r="CX31" s="7">
        <v>0.04</v>
      </c>
      <c r="CY31" s="3">
        <f t="shared" si="1"/>
        <v>68.585116821640085</v>
      </c>
      <c r="CZ31">
        <v>1364</v>
      </c>
      <c r="DA31">
        <v>600</v>
      </c>
      <c r="DB31">
        <v>496060</v>
      </c>
      <c r="DC31">
        <v>1349</v>
      </c>
      <c r="DE31" t="s">
        <v>147</v>
      </c>
      <c r="DK31" s="5">
        <v>2362.9761679599619</v>
      </c>
      <c r="DM31" s="5">
        <v>1249.0986561783022</v>
      </c>
    </row>
    <row r="32" spans="1:117" x14ac:dyDescent="0.25">
      <c r="A32" t="s">
        <v>99</v>
      </c>
      <c r="B32" t="s">
        <v>117</v>
      </c>
      <c r="C32">
        <v>117.1358</v>
      </c>
      <c r="D32">
        <v>-30.993200000000002</v>
      </c>
      <c r="E32">
        <v>2019</v>
      </c>
      <c r="F32" t="s">
        <v>134</v>
      </c>
      <c r="G32" t="s">
        <v>139</v>
      </c>
      <c r="H32" t="s">
        <v>142</v>
      </c>
      <c r="I32">
        <v>25.4</v>
      </c>
      <c r="J32">
        <v>0</v>
      </c>
      <c r="K32">
        <v>993995</v>
      </c>
      <c r="L32">
        <v>14.83</v>
      </c>
      <c r="N32">
        <v>359.3</v>
      </c>
      <c r="O32">
        <v>36.799999999999997</v>
      </c>
      <c r="P32">
        <v>25.6</v>
      </c>
      <c r="Q32">
        <v>31.6</v>
      </c>
      <c r="R32">
        <v>734932</v>
      </c>
      <c r="S32">
        <v>13.98</v>
      </c>
      <c r="U32">
        <v>279.5</v>
      </c>
      <c r="V32">
        <v>39.299999999999997</v>
      </c>
      <c r="W32">
        <v>23.9</v>
      </c>
      <c r="X32">
        <v>5.4</v>
      </c>
      <c r="Y32">
        <v>357049.9</v>
      </c>
      <c r="Z32">
        <v>12.86</v>
      </c>
      <c r="AB32">
        <v>172</v>
      </c>
      <c r="AC32">
        <v>44.8</v>
      </c>
      <c r="AD32">
        <v>18.5</v>
      </c>
      <c r="AE32">
        <v>3</v>
      </c>
      <c r="AF32">
        <v>517655.7</v>
      </c>
      <c r="AG32">
        <v>13.02</v>
      </c>
      <c r="AI32">
        <v>177.6</v>
      </c>
      <c r="AJ32">
        <v>52.8</v>
      </c>
      <c r="AK32">
        <v>13.6</v>
      </c>
      <c r="AL32">
        <v>4.8</v>
      </c>
      <c r="AM32">
        <v>367750.1</v>
      </c>
      <c r="AN32">
        <v>9.9600000000000009</v>
      </c>
      <c r="AP32">
        <v>119</v>
      </c>
      <c r="AQ32">
        <v>55.9</v>
      </c>
      <c r="AR32">
        <v>12</v>
      </c>
      <c r="AS32">
        <v>67.400000000000006</v>
      </c>
      <c r="AT32">
        <v>247341.8</v>
      </c>
      <c r="AU32">
        <v>13.84</v>
      </c>
      <c r="AW32">
        <v>77.099999999999994</v>
      </c>
      <c r="AX32">
        <v>69.400000000000006</v>
      </c>
      <c r="AY32">
        <v>11.3</v>
      </c>
      <c r="AZ32">
        <v>39.200000000000003</v>
      </c>
      <c r="BA32">
        <v>387449.5</v>
      </c>
      <c r="BB32">
        <v>9.67</v>
      </c>
      <c r="BD32">
        <v>82</v>
      </c>
      <c r="BE32">
        <v>77.3</v>
      </c>
      <c r="BF32">
        <v>11.8</v>
      </c>
      <c r="BG32">
        <v>27.4</v>
      </c>
      <c r="BH32">
        <v>494116.4</v>
      </c>
      <c r="BI32">
        <v>11.96</v>
      </c>
      <c r="BK32">
        <v>126.4</v>
      </c>
      <c r="BL32">
        <v>68.400000000000006</v>
      </c>
      <c r="BM32">
        <v>15.5</v>
      </c>
      <c r="BN32">
        <v>3.8</v>
      </c>
      <c r="BO32">
        <v>662857.9</v>
      </c>
      <c r="BP32">
        <v>10.63</v>
      </c>
      <c r="BR32">
        <v>183</v>
      </c>
      <c r="BS32">
        <v>58.7</v>
      </c>
      <c r="BT32">
        <v>18.399999999999999</v>
      </c>
      <c r="BU32">
        <v>20.399999999999999</v>
      </c>
      <c r="BV32">
        <v>824951.3</v>
      </c>
      <c r="BW32">
        <v>12.35</v>
      </c>
      <c r="BY32">
        <v>252.8</v>
      </c>
      <c r="BZ32">
        <v>50.4</v>
      </c>
      <c r="CA32">
        <v>22.6</v>
      </c>
      <c r="CB32">
        <v>1.8</v>
      </c>
      <c r="CC32">
        <v>924626.1</v>
      </c>
      <c r="CD32">
        <v>15.06</v>
      </c>
      <c r="CF32">
        <v>323.8</v>
      </c>
      <c r="CG32">
        <v>35.799999999999997</v>
      </c>
      <c r="CH32">
        <v>27.1</v>
      </c>
      <c r="CI32">
        <v>2.4</v>
      </c>
      <c r="CJ32">
        <v>966725.7</v>
      </c>
      <c r="CK32">
        <v>14.27</v>
      </c>
      <c r="CM32">
        <v>371.2</v>
      </c>
      <c r="CN32">
        <v>32.299999999999997</v>
      </c>
      <c r="CP32" s="3">
        <v>151.20769046666666</v>
      </c>
      <c r="CQ32" s="3">
        <v>267.33967790703502</v>
      </c>
      <c r="CR32" s="3">
        <v>246.94953969827165</v>
      </c>
      <c r="CS32" s="3">
        <v>186.82042264949916</v>
      </c>
      <c r="CT32" s="3">
        <v>164.67061180174997</v>
      </c>
      <c r="CU32" s="7">
        <v>0.06</v>
      </c>
      <c r="CV32" s="7">
        <v>0.14000000000000001</v>
      </c>
      <c r="CW32" s="7">
        <v>7.0000000000000007E-2</v>
      </c>
      <c r="CX32" s="7">
        <v>0.04</v>
      </c>
      <c r="CY32" s="3">
        <f t="shared" si="1"/>
        <v>70.277570289715072</v>
      </c>
      <c r="CZ32">
        <v>1772</v>
      </c>
      <c r="DA32">
        <v>669</v>
      </c>
      <c r="DB32">
        <v>656390</v>
      </c>
      <c r="DC32">
        <v>1780</v>
      </c>
      <c r="DE32" t="s">
        <v>147</v>
      </c>
      <c r="DK32" s="5">
        <v>3069.7901536840563</v>
      </c>
      <c r="DM32" s="5">
        <v>1392.7450016388068</v>
      </c>
    </row>
    <row r="33" spans="1:117" x14ac:dyDescent="0.25">
      <c r="A33" t="s">
        <v>99</v>
      </c>
      <c r="B33" t="s">
        <v>117</v>
      </c>
      <c r="C33">
        <v>117.1358</v>
      </c>
      <c r="D33">
        <v>-30.993200000000002</v>
      </c>
      <c r="E33">
        <v>2020</v>
      </c>
      <c r="F33" t="s">
        <v>134</v>
      </c>
      <c r="G33" t="s">
        <v>139</v>
      </c>
      <c r="H33" t="s">
        <v>142</v>
      </c>
      <c r="I33">
        <v>25.5</v>
      </c>
      <c r="J33">
        <v>0</v>
      </c>
      <c r="K33">
        <v>983632.9</v>
      </c>
      <c r="L33">
        <v>16.2</v>
      </c>
      <c r="N33">
        <v>363</v>
      </c>
      <c r="O33">
        <v>37.1</v>
      </c>
      <c r="P33">
        <v>25.9</v>
      </c>
      <c r="Q33">
        <v>103.2</v>
      </c>
      <c r="R33">
        <v>704788.6</v>
      </c>
      <c r="S33">
        <v>18.71</v>
      </c>
      <c r="U33">
        <v>282.3</v>
      </c>
      <c r="V33">
        <v>47.6</v>
      </c>
      <c r="W33">
        <v>22.5</v>
      </c>
      <c r="X33">
        <v>9.8000000000000007</v>
      </c>
      <c r="Y33">
        <v>682305.6</v>
      </c>
      <c r="Z33">
        <v>14.58</v>
      </c>
      <c r="AB33">
        <v>238.5</v>
      </c>
      <c r="AC33">
        <v>52</v>
      </c>
      <c r="AD33">
        <v>19.8</v>
      </c>
      <c r="AE33">
        <v>5.4</v>
      </c>
      <c r="AF33">
        <v>425319.3</v>
      </c>
      <c r="AG33">
        <v>11.67</v>
      </c>
      <c r="AI33">
        <v>163.19999999999999</v>
      </c>
      <c r="AJ33">
        <v>51.7</v>
      </c>
      <c r="AK33">
        <v>14.4</v>
      </c>
      <c r="AL33">
        <v>33.6</v>
      </c>
      <c r="AM33">
        <v>259203.6</v>
      </c>
      <c r="AN33">
        <v>14.07</v>
      </c>
      <c r="AP33">
        <v>106.3</v>
      </c>
      <c r="AQ33">
        <v>59.2</v>
      </c>
      <c r="AR33">
        <v>13.6</v>
      </c>
      <c r="AS33">
        <v>38.4</v>
      </c>
      <c r="AT33">
        <v>252172.3</v>
      </c>
      <c r="AU33">
        <v>12.33</v>
      </c>
      <c r="AW33">
        <v>77.900000000000006</v>
      </c>
      <c r="AX33">
        <v>69.400000000000006</v>
      </c>
      <c r="AY33">
        <v>11.5</v>
      </c>
      <c r="AZ33">
        <v>32.6</v>
      </c>
      <c r="BA33">
        <v>387695.5</v>
      </c>
      <c r="BB33">
        <v>10.59</v>
      </c>
      <c r="BD33">
        <v>91.6</v>
      </c>
      <c r="BE33">
        <v>75.3</v>
      </c>
      <c r="BF33">
        <v>11.4</v>
      </c>
      <c r="BG33">
        <v>46.8</v>
      </c>
      <c r="BH33">
        <v>452802.1</v>
      </c>
      <c r="BI33">
        <v>11.23</v>
      </c>
      <c r="BK33">
        <v>96.3</v>
      </c>
      <c r="BL33">
        <v>77.400000000000006</v>
      </c>
      <c r="BM33">
        <v>14.4</v>
      </c>
      <c r="BN33">
        <v>12.2</v>
      </c>
      <c r="BO33">
        <v>630801.80000000005</v>
      </c>
      <c r="BP33">
        <v>11.48</v>
      </c>
      <c r="BR33">
        <v>168</v>
      </c>
      <c r="BS33">
        <v>64.599999999999994</v>
      </c>
      <c r="BT33">
        <v>18.399999999999999</v>
      </c>
      <c r="BU33">
        <v>2.2000000000000002</v>
      </c>
      <c r="BV33">
        <v>789784.8</v>
      </c>
      <c r="BW33">
        <v>11.45</v>
      </c>
      <c r="BY33">
        <v>244.1</v>
      </c>
      <c r="BZ33">
        <v>47.6</v>
      </c>
      <c r="CA33">
        <v>19.399999999999999</v>
      </c>
      <c r="CB33">
        <v>14.6</v>
      </c>
      <c r="CC33">
        <v>841705.9</v>
      </c>
      <c r="CD33">
        <v>13.68</v>
      </c>
      <c r="CF33">
        <v>259.3</v>
      </c>
      <c r="CG33">
        <v>52.6</v>
      </c>
      <c r="CH33">
        <v>24.7</v>
      </c>
      <c r="CI33">
        <v>0</v>
      </c>
      <c r="CJ33">
        <v>1002824.9</v>
      </c>
      <c r="CK33">
        <v>15.39</v>
      </c>
      <c r="CM33">
        <v>361.3</v>
      </c>
      <c r="CN33">
        <v>33.4</v>
      </c>
      <c r="CP33" s="3">
        <v>137.12151142499999</v>
      </c>
      <c r="CQ33" s="3">
        <v>183.94377395835087</v>
      </c>
      <c r="CR33" s="3">
        <v>171.50265380089249</v>
      </c>
      <c r="CS33" s="3">
        <v>153.47587761539251</v>
      </c>
      <c r="CT33" s="3">
        <v>168.62831412656331</v>
      </c>
      <c r="CU33" s="7">
        <v>0.06</v>
      </c>
      <c r="CV33" s="7">
        <v>0.14000000000000001</v>
      </c>
      <c r="CW33" s="7">
        <v>7.0000000000000007E-2</v>
      </c>
      <c r="CX33" s="7">
        <v>0.04</v>
      </c>
      <c r="CY33" s="3">
        <f t="shared" si="1"/>
        <v>52.535441967766019</v>
      </c>
      <c r="CZ33">
        <v>1005</v>
      </c>
      <c r="DA33">
        <v>646</v>
      </c>
      <c r="DB33">
        <v>524950</v>
      </c>
      <c r="DC33">
        <v>1056</v>
      </c>
      <c r="DE33" t="s">
        <v>147</v>
      </c>
      <c r="DK33" s="5">
        <v>1741.0491560115556</v>
      </c>
      <c r="DM33" s="5">
        <v>1344.8628864853054</v>
      </c>
    </row>
    <row r="34" spans="1:117" x14ac:dyDescent="0.25">
      <c r="A34" t="s">
        <v>100</v>
      </c>
      <c r="B34" t="s">
        <v>118</v>
      </c>
      <c r="C34">
        <v>121.795591</v>
      </c>
      <c r="D34">
        <v>-33.609175</v>
      </c>
      <c r="E34">
        <v>2013</v>
      </c>
      <c r="F34" t="s">
        <v>135</v>
      </c>
      <c r="G34" t="s">
        <v>139</v>
      </c>
      <c r="H34" t="s">
        <v>142</v>
      </c>
      <c r="I34">
        <v>21.1</v>
      </c>
      <c r="J34">
        <v>33.6</v>
      </c>
      <c r="K34">
        <v>766980.8</v>
      </c>
      <c r="L34">
        <v>14.06</v>
      </c>
      <c r="M34">
        <v>28.1</v>
      </c>
      <c r="N34">
        <v>222.5</v>
      </c>
      <c r="O34">
        <v>68.7</v>
      </c>
      <c r="P34">
        <v>20.5</v>
      </c>
      <c r="Q34">
        <v>7</v>
      </c>
      <c r="R34">
        <v>696445.3</v>
      </c>
      <c r="S34">
        <v>14.32</v>
      </c>
      <c r="T34">
        <v>29.4</v>
      </c>
      <c r="U34">
        <v>201.1</v>
      </c>
      <c r="V34">
        <v>70</v>
      </c>
      <c r="W34">
        <v>17.5</v>
      </c>
      <c r="X34">
        <v>142</v>
      </c>
      <c r="Y34">
        <v>489776.7</v>
      </c>
      <c r="Z34">
        <v>9.85</v>
      </c>
      <c r="AA34">
        <v>21.2</v>
      </c>
      <c r="AB34">
        <v>108</v>
      </c>
      <c r="AC34">
        <v>87.1</v>
      </c>
      <c r="AD34">
        <v>18.2</v>
      </c>
      <c r="AE34">
        <v>36</v>
      </c>
      <c r="AF34">
        <v>403246.2</v>
      </c>
      <c r="AG34">
        <v>10.31</v>
      </c>
      <c r="AH34">
        <v>20.100000000000001</v>
      </c>
      <c r="AI34">
        <v>105.3</v>
      </c>
      <c r="AJ34">
        <v>80.900000000000006</v>
      </c>
      <c r="AK34">
        <v>13.9</v>
      </c>
      <c r="AL34">
        <v>82</v>
      </c>
      <c r="AM34">
        <v>285021.7</v>
      </c>
      <c r="AN34">
        <v>9.9499999999999993</v>
      </c>
      <c r="AO34">
        <v>14.7</v>
      </c>
      <c r="AP34">
        <v>63.3</v>
      </c>
      <c r="AQ34">
        <v>84.5</v>
      </c>
      <c r="AR34">
        <v>11.4</v>
      </c>
      <c r="AS34">
        <v>40.4</v>
      </c>
      <c r="AT34">
        <v>250447.5</v>
      </c>
      <c r="AU34">
        <v>8.61</v>
      </c>
      <c r="AV34">
        <v>11.8</v>
      </c>
      <c r="AW34">
        <v>41.5</v>
      </c>
      <c r="AX34">
        <v>85.9</v>
      </c>
      <c r="AY34">
        <v>10.4</v>
      </c>
      <c r="AZ34">
        <v>58</v>
      </c>
      <c r="BA34">
        <v>311120.7</v>
      </c>
      <c r="BB34">
        <v>10.11</v>
      </c>
      <c r="BC34">
        <v>10.7</v>
      </c>
      <c r="BD34">
        <v>53.8</v>
      </c>
      <c r="BE34">
        <v>85.9</v>
      </c>
      <c r="BF34">
        <v>12.6</v>
      </c>
      <c r="BG34">
        <v>70</v>
      </c>
      <c r="BH34">
        <v>406289.3</v>
      </c>
      <c r="BI34">
        <v>11.91</v>
      </c>
      <c r="BJ34">
        <v>13.2</v>
      </c>
      <c r="BK34">
        <v>81.099999999999994</v>
      </c>
      <c r="BL34">
        <v>84.8</v>
      </c>
      <c r="BM34">
        <v>13.1</v>
      </c>
      <c r="BN34">
        <v>66.2</v>
      </c>
      <c r="BO34">
        <v>515478.8</v>
      </c>
      <c r="BP34">
        <v>12.72</v>
      </c>
      <c r="BQ34">
        <v>15.2</v>
      </c>
      <c r="BR34">
        <v>114.7</v>
      </c>
      <c r="BS34">
        <v>82</v>
      </c>
      <c r="BT34">
        <v>14.3</v>
      </c>
      <c r="BU34">
        <v>76.400000000000006</v>
      </c>
      <c r="BV34">
        <v>659416.6</v>
      </c>
      <c r="BW34">
        <v>11.53</v>
      </c>
      <c r="BX34">
        <v>18</v>
      </c>
      <c r="BY34">
        <v>151.4</v>
      </c>
      <c r="BZ34">
        <v>79.900000000000006</v>
      </c>
      <c r="CA34">
        <v>16.899999999999999</v>
      </c>
      <c r="CB34">
        <v>11.8</v>
      </c>
      <c r="CC34">
        <v>726918.6</v>
      </c>
      <c r="CD34">
        <v>15.58</v>
      </c>
      <c r="CE34">
        <v>22.2</v>
      </c>
      <c r="CF34">
        <v>195.4</v>
      </c>
      <c r="CG34">
        <v>70.900000000000006</v>
      </c>
      <c r="CH34">
        <v>19.399999999999999</v>
      </c>
      <c r="CI34">
        <v>39</v>
      </c>
      <c r="CJ34">
        <v>836494.2</v>
      </c>
      <c r="CK34">
        <v>13.28</v>
      </c>
      <c r="CL34">
        <v>25.1</v>
      </c>
      <c r="CM34">
        <v>238.6</v>
      </c>
      <c r="CN34">
        <v>67.400000000000006</v>
      </c>
      <c r="CP34" s="3">
        <v>344.25478384166667</v>
      </c>
      <c r="CQ34" s="3">
        <v>485.1324771412531</v>
      </c>
      <c r="CR34" s="3">
        <v>453.99912920229173</v>
      </c>
      <c r="CS34" s="3">
        <v>379.15555696741984</v>
      </c>
      <c r="CT34" s="3">
        <v>431.36433691804177</v>
      </c>
      <c r="CU34" s="7">
        <v>0.06</v>
      </c>
      <c r="CV34" s="7">
        <v>0.14000000000000001</v>
      </c>
      <c r="CW34" s="7">
        <v>7.0000000000000007E-2</v>
      </c>
      <c r="CX34" s="7">
        <v>0.04</v>
      </c>
      <c r="CY34" s="3">
        <f t="shared" si="1"/>
        <v>136.46328918123712</v>
      </c>
      <c r="CZ34">
        <v>1016</v>
      </c>
      <c r="DA34">
        <v>696</v>
      </c>
      <c r="DB34">
        <v>453990</v>
      </c>
      <c r="DC34">
        <v>1009</v>
      </c>
      <c r="DE34" t="s">
        <v>146</v>
      </c>
      <c r="DK34" s="5">
        <v>1016</v>
      </c>
      <c r="DM34" s="5">
        <v>696</v>
      </c>
    </row>
    <row r="35" spans="1:117" x14ac:dyDescent="0.25">
      <c r="A35" t="s">
        <v>100</v>
      </c>
      <c r="B35" t="s">
        <v>118</v>
      </c>
      <c r="C35">
        <v>121.795591</v>
      </c>
      <c r="D35">
        <v>-33.609175</v>
      </c>
      <c r="E35">
        <v>2014</v>
      </c>
      <c r="F35" t="s">
        <v>135</v>
      </c>
      <c r="G35" t="s">
        <v>139</v>
      </c>
      <c r="H35" t="s">
        <v>142</v>
      </c>
      <c r="I35">
        <v>21.2</v>
      </c>
      <c r="J35">
        <v>15.4</v>
      </c>
      <c r="K35">
        <v>836813.7</v>
      </c>
      <c r="L35">
        <v>14.13</v>
      </c>
      <c r="M35">
        <v>28</v>
      </c>
      <c r="N35">
        <v>246.7</v>
      </c>
      <c r="O35">
        <v>66.099999999999994</v>
      </c>
      <c r="P35">
        <v>20.100000000000001</v>
      </c>
      <c r="Q35">
        <v>8</v>
      </c>
      <c r="R35">
        <v>620518.80000000005</v>
      </c>
      <c r="S35">
        <v>13.26</v>
      </c>
      <c r="T35">
        <v>25.8</v>
      </c>
      <c r="U35">
        <v>176.1</v>
      </c>
      <c r="V35">
        <v>67.5</v>
      </c>
      <c r="W35">
        <v>19.7</v>
      </c>
      <c r="X35">
        <v>6.8</v>
      </c>
      <c r="Y35">
        <v>627783.4</v>
      </c>
      <c r="Z35">
        <v>12.98</v>
      </c>
      <c r="AA35">
        <v>24.8</v>
      </c>
      <c r="AB35">
        <v>191</v>
      </c>
      <c r="AC35">
        <v>67.099999999999994</v>
      </c>
      <c r="AD35">
        <v>17.5</v>
      </c>
      <c r="AE35">
        <v>10.4</v>
      </c>
      <c r="AF35">
        <v>435842.6</v>
      </c>
      <c r="AG35">
        <v>10.8</v>
      </c>
      <c r="AH35">
        <v>20.7</v>
      </c>
      <c r="AI35">
        <v>127</v>
      </c>
      <c r="AJ35">
        <v>70.3</v>
      </c>
      <c r="AK35">
        <v>15.6</v>
      </c>
      <c r="AL35">
        <v>65.8</v>
      </c>
      <c r="AM35">
        <v>308184.40000000002</v>
      </c>
      <c r="AN35">
        <v>10.76</v>
      </c>
      <c r="AO35">
        <v>16</v>
      </c>
      <c r="AP35">
        <v>79.5</v>
      </c>
      <c r="AQ35">
        <v>78.3</v>
      </c>
      <c r="AR35">
        <v>12.6</v>
      </c>
      <c r="AS35">
        <v>66.400000000000006</v>
      </c>
      <c r="AT35">
        <v>283917.8</v>
      </c>
      <c r="AU35">
        <v>11.98</v>
      </c>
      <c r="AV35">
        <v>12.3</v>
      </c>
      <c r="AW35">
        <v>76</v>
      </c>
      <c r="AX35">
        <v>74.099999999999994</v>
      </c>
      <c r="AY35">
        <v>11.5</v>
      </c>
      <c r="AZ35">
        <v>133.6</v>
      </c>
      <c r="BA35">
        <v>299914</v>
      </c>
      <c r="BB35">
        <v>12.43</v>
      </c>
      <c r="BC35">
        <v>10.9</v>
      </c>
      <c r="BD35">
        <v>67.5</v>
      </c>
      <c r="BE35">
        <v>79.8</v>
      </c>
      <c r="BF35">
        <v>12.8</v>
      </c>
      <c r="BG35">
        <v>45.2</v>
      </c>
      <c r="BH35">
        <v>408275.3</v>
      </c>
      <c r="BI35">
        <v>9.36</v>
      </c>
      <c r="BJ35">
        <v>13.5</v>
      </c>
      <c r="BK35">
        <v>96.3</v>
      </c>
      <c r="BL35">
        <v>73.7</v>
      </c>
      <c r="BM35">
        <v>14.6</v>
      </c>
      <c r="BN35">
        <v>58.2</v>
      </c>
      <c r="BO35">
        <v>528140</v>
      </c>
      <c r="BP35">
        <v>12.21</v>
      </c>
      <c r="BQ35">
        <v>15.7</v>
      </c>
      <c r="BR35">
        <v>137.19999999999999</v>
      </c>
      <c r="BS35">
        <v>74.7</v>
      </c>
      <c r="BT35">
        <v>16.2</v>
      </c>
      <c r="BU35">
        <v>65</v>
      </c>
      <c r="BV35">
        <v>656433.80000000005</v>
      </c>
      <c r="BW35">
        <v>11.85</v>
      </c>
      <c r="BX35">
        <v>20</v>
      </c>
      <c r="BY35">
        <v>169.2</v>
      </c>
      <c r="BZ35">
        <v>73.599999999999994</v>
      </c>
      <c r="CA35">
        <v>18</v>
      </c>
      <c r="CB35">
        <v>50.2</v>
      </c>
      <c r="CC35">
        <v>703182.7</v>
      </c>
      <c r="CD35">
        <v>12.66</v>
      </c>
      <c r="CE35">
        <v>22.9</v>
      </c>
      <c r="CF35">
        <v>194.4</v>
      </c>
      <c r="CG35">
        <v>67.2</v>
      </c>
      <c r="CH35">
        <v>18.600000000000001</v>
      </c>
      <c r="CI35">
        <v>17</v>
      </c>
      <c r="CJ35">
        <v>823216.1</v>
      </c>
      <c r="CK35">
        <v>12.99</v>
      </c>
      <c r="CL35">
        <v>25.8</v>
      </c>
      <c r="CM35">
        <v>224.8</v>
      </c>
      <c r="CN35">
        <v>68</v>
      </c>
      <c r="CP35" s="3">
        <v>283.32452813333333</v>
      </c>
      <c r="CQ35" s="3">
        <v>368.2939243092531</v>
      </c>
      <c r="CR35" s="3">
        <v>330.59328943508331</v>
      </c>
      <c r="CS35" s="3">
        <v>279.4513129062604</v>
      </c>
      <c r="CT35" s="3">
        <v>325.40383910199995</v>
      </c>
      <c r="CU35" s="7">
        <v>0.06</v>
      </c>
      <c r="CV35" s="7">
        <v>0.14000000000000001</v>
      </c>
      <c r="CW35" s="7">
        <v>7.0000000000000007E-2</v>
      </c>
      <c r="CX35" s="7">
        <v>0.04</v>
      </c>
      <c r="CY35" s="3">
        <f t="shared" si="1"/>
        <v>100.95844144698508</v>
      </c>
      <c r="CZ35">
        <v>1638</v>
      </c>
      <c r="DA35">
        <v>683</v>
      </c>
      <c r="DB35">
        <v>566200</v>
      </c>
      <c r="DC35">
        <v>1514</v>
      </c>
      <c r="DE35" t="s">
        <v>146</v>
      </c>
      <c r="DK35" s="5">
        <v>1638</v>
      </c>
      <c r="DM35" s="5">
        <v>683</v>
      </c>
    </row>
    <row r="36" spans="1:117" x14ac:dyDescent="0.25">
      <c r="A36" t="s">
        <v>100</v>
      </c>
      <c r="B36" t="s">
        <v>118</v>
      </c>
      <c r="C36">
        <v>121.795591</v>
      </c>
      <c r="D36">
        <v>-33.609175</v>
      </c>
      <c r="E36">
        <v>2015</v>
      </c>
      <c r="F36" t="s">
        <v>135</v>
      </c>
      <c r="G36" t="s">
        <v>139</v>
      </c>
      <c r="H36" t="s">
        <v>142</v>
      </c>
      <c r="I36">
        <v>20.7</v>
      </c>
      <c r="J36">
        <v>2.8</v>
      </c>
      <c r="K36">
        <v>850396</v>
      </c>
      <c r="L36">
        <v>13.75</v>
      </c>
      <c r="M36">
        <v>29.5</v>
      </c>
      <c r="N36">
        <v>248.9</v>
      </c>
      <c r="O36">
        <v>63.6</v>
      </c>
      <c r="P36">
        <v>22.5</v>
      </c>
      <c r="Q36">
        <v>1.6</v>
      </c>
      <c r="R36">
        <v>654475.80000000005</v>
      </c>
      <c r="S36">
        <v>14.05</v>
      </c>
      <c r="T36">
        <v>31</v>
      </c>
      <c r="U36">
        <v>209.3</v>
      </c>
      <c r="V36">
        <v>62.9</v>
      </c>
      <c r="W36">
        <v>19.399999999999999</v>
      </c>
      <c r="X36">
        <v>42.8</v>
      </c>
      <c r="Y36">
        <v>607626.4</v>
      </c>
      <c r="Z36">
        <v>11.25</v>
      </c>
      <c r="AA36">
        <v>24.9</v>
      </c>
      <c r="AB36">
        <v>178.7</v>
      </c>
      <c r="AC36">
        <v>68.099999999999994</v>
      </c>
      <c r="AD36">
        <v>16</v>
      </c>
      <c r="AE36">
        <v>51</v>
      </c>
      <c r="AF36">
        <v>401529.4</v>
      </c>
      <c r="AG36">
        <v>11.15</v>
      </c>
      <c r="AH36">
        <v>17.5</v>
      </c>
      <c r="AI36">
        <v>107</v>
      </c>
      <c r="AJ36">
        <v>71.5</v>
      </c>
      <c r="AK36">
        <v>13.1</v>
      </c>
      <c r="AL36">
        <v>52.2</v>
      </c>
      <c r="AM36">
        <v>300360.3</v>
      </c>
      <c r="AN36">
        <v>10.32</v>
      </c>
      <c r="AO36">
        <v>13.8</v>
      </c>
      <c r="AP36">
        <v>78.8</v>
      </c>
      <c r="AQ36">
        <v>76.400000000000006</v>
      </c>
      <c r="AR36">
        <v>13</v>
      </c>
      <c r="AS36">
        <v>63</v>
      </c>
      <c r="AT36">
        <v>272103.2</v>
      </c>
      <c r="AU36">
        <v>9.9700000000000006</v>
      </c>
      <c r="AV36">
        <v>12.8</v>
      </c>
      <c r="AW36">
        <v>60.7</v>
      </c>
      <c r="AX36">
        <v>79.2</v>
      </c>
      <c r="AY36">
        <v>11.2</v>
      </c>
      <c r="AZ36">
        <v>45.8</v>
      </c>
      <c r="BA36">
        <v>261681.1</v>
      </c>
      <c r="BB36">
        <v>9.26</v>
      </c>
      <c r="BC36">
        <v>11.4</v>
      </c>
      <c r="BD36">
        <v>54.6</v>
      </c>
      <c r="BE36">
        <v>81.900000000000006</v>
      </c>
      <c r="BF36">
        <v>11.9</v>
      </c>
      <c r="BG36">
        <v>80.8</v>
      </c>
      <c r="BH36">
        <v>382478</v>
      </c>
      <c r="BI36">
        <v>9.76</v>
      </c>
      <c r="BJ36">
        <v>12.7</v>
      </c>
      <c r="BK36">
        <v>76.8</v>
      </c>
      <c r="BL36">
        <v>81.3</v>
      </c>
      <c r="BM36">
        <v>12.9</v>
      </c>
      <c r="BN36">
        <v>61.4</v>
      </c>
      <c r="BO36">
        <v>521618.1</v>
      </c>
      <c r="BP36">
        <v>10.17</v>
      </c>
      <c r="BQ36">
        <v>15</v>
      </c>
      <c r="BR36">
        <v>114.7</v>
      </c>
      <c r="BS36">
        <v>76.2</v>
      </c>
      <c r="BT36">
        <v>17.8</v>
      </c>
      <c r="BU36">
        <v>17</v>
      </c>
      <c r="BV36">
        <v>617729.6</v>
      </c>
      <c r="BW36">
        <v>10.95</v>
      </c>
      <c r="BX36">
        <v>22.1</v>
      </c>
      <c r="BY36">
        <v>166.8</v>
      </c>
      <c r="BZ36">
        <v>67.8</v>
      </c>
      <c r="CA36">
        <v>19</v>
      </c>
      <c r="CB36">
        <v>28.2</v>
      </c>
      <c r="CC36">
        <v>661022.5</v>
      </c>
      <c r="CD36">
        <v>13.17</v>
      </c>
      <c r="CE36">
        <v>24.3</v>
      </c>
      <c r="CF36">
        <v>190.1</v>
      </c>
      <c r="CG36">
        <v>67.5</v>
      </c>
      <c r="CH36">
        <v>19.399999999999999</v>
      </c>
      <c r="CI36">
        <v>37</v>
      </c>
      <c r="CJ36">
        <v>774387.9</v>
      </c>
      <c r="CK36">
        <v>14.23</v>
      </c>
      <c r="CL36">
        <v>25.6</v>
      </c>
      <c r="CM36">
        <v>230.9</v>
      </c>
      <c r="CN36">
        <v>62.1</v>
      </c>
      <c r="CP36" s="3">
        <v>204.8839893083333</v>
      </c>
      <c r="CQ36" s="3">
        <v>357.71587473362189</v>
      </c>
      <c r="CR36" s="3">
        <v>322.98543302087501</v>
      </c>
      <c r="CS36" s="3">
        <v>251.33925340010413</v>
      </c>
      <c r="CT36" s="3">
        <v>238.07175714163543</v>
      </c>
      <c r="CU36" s="7">
        <v>0.06</v>
      </c>
      <c r="CV36" s="7">
        <v>0.14000000000000001</v>
      </c>
      <c r="CW36" s="7">
        <v>7.0000000000000007E-2</v>
      </c>
      <c r="CX36" s="7">
        <v>0.04</v>
      </c>
      <c r="CY36" s="3">
        <f t="shared" si="1"/>
        <v>93.797531130612526</v>
      </c>
      <c r="CZ36">
        <v>1468</v>
      </c>
      <c r="DA36">
        <v>695</v>
      </c>
      <c r="DB36">
        <v>628010</v>
      </c>
      <c r="DC36">
        <v>1524</v>
      </c>
      <c r="DE36" t="s">
        <v>146</v>
      </c>
      <c r="DK36" s="5">
        <v>1468</v>
      </c>
      <c r="DM36" s="5">
        <v>695</v>
      </c>
    </row>
    <row r="37" spans="1:117" x14ac:dyDescent="0.25">
      <c r="A37" t="s">
        <v>100</v>
      </c>
      <c r="B37" t="s">
        <v>118</v>
      </c>
      <c r="C37">
        <v>121.795591</v>
      </c>
      <c r="D37">
        <v>-33.609175</v>
      </c>
      <c r="E37">
        <v>2016</v>
      </c>
      <c r="F37" t="s">
        <v>135</v>
      </c>
      <c r="G37" t="s">
        <v>139</v>
      </c>
      <c r="H37" t="s">
        <v>142</v>
      </c>
      <c r="I37">
        <v>21.3</v>
      </c>
      <c r="J37">
        <v>37.200000000000003</v>
      </c>
      <c r="K37">
        <v>724447.9</v>
      </c>
      <c r="L37">
        <v>13.27</v>
      </c>
      <c r="M37">
        <v>26.6</v>
      </c>
      <c r="N37">
        <v>210.6</v>
      </c>
      <c r="O37">
        <v>66.7</v>
      </c>
      <c r="P37">
        <v>21.1</v>
      </c>
      <c r="Q37">
        <v>16.8</v>
      </c>
      <c r="R37">
        <v>712132.3</v>
      </c>
      <c r="S37">
        <v>11.73</v>
      </c>
      <c r="T37">
        <v>27.3</v>
      </c>
      <c r="U37">
        <v>212.2</v>
      </c>
      <c r="V37">
        <v>62.8</v>
      </c>
      <c r="W37">
        <v>19.8</v>
      </c>
      <c r="X37">
        <v>80.8</v>
      </c>
      <c r="Y37">
        <v>539558.9</v>
      </c>
      <c r="Z37">
        <v>11.21</v>
      </c>
      <c r="AA37">
        <v>23.2</v>
      </c>
      <c r="AB37">
        <v>143</v>
      </c>
      <c r="AC37">
        <v>76.8</v>
      </c>
      <c r="AD37">
        <v>17.3</v>
      </c>
      <c r="AE37">
        <v>49.6</v>
      </c>
      <c r="AF37">
        <v>380403.1</v>
      </c>
      <c r="AG37">
        <v>9.98</v>
      </c>
      <c r="AH37">
        <v>19.3</v>
      </c>
      <c r="AI37">
        <v>105.6</v>
      </c>
      <c r="AJ37">
        <v>74.2</v>
      </c>
      <c r="AK37">
        <v>13.5</v>
      </c>
      <c r="AL37">
        <v>52.4</v>
      </c>
      <c r="AM37">
        <v>328569.90000000002</v>
      </c>
      <c r="AN37">
        <v>9.42</v>
      </c>
      <c r="AO37">
        <v>13.6</v>
      </c>
      <c r="AP37">
        <v>74.3</v>
      </c>
      <c r="AQ37">
        <v>77.599999999999994</v>
      </c>
      <c r="AR37">
        <v>11.2</v>
      </c>
      <c r="AS37">
        <v>91.6</v>
      </c>
      <c r="AT37">
        <v>257134.3</v>
      </c>
      <c r="AU37">
        <v>9.35</v>
      </c>
      <c r="AV37">
        <v>11.2</v>
      </c>
      <c r="AW37">
        <v>49</v>
      </c>
      <c r="AX37">
        <v>83.2</v>
      </c>
      <c r="AY37">
        <v>10.7</v>
      </c>
      <c r="AZ37">
        <v>63.4</v>
      </c>
      <c r="BA37">
        <v>299541.3</v>
      </c>
      <c r="BB37">
        <v>10.06</v>
      </c>
      <c r="BC37">
        <v>10.6</v>
      </c>
      <c r="BD37">
        <v>61</v>
      </c>
      <c r="BE37">
        <v>81.2</v>
      </c>
      <c r="BF37">
        <v>10.9</v>
      </c>
      <c r="BG37">
        <v>110.8</v>
      </c>
      <c r="BH37">
        <v>355145.5</v>
      </c>
      <c r="BI37">
        <v>10.28</v>
      </c>
      <c r="BJ37">
        <v>11.4</v>
      </c>
      <c r="BK37">
        <v>73.3</v>
      </c>
      <c r="BL37">
        <v>79.599999999999994</v>
      </c>
      <c r="BM37">
        <v>11.7</v>
      </c>
      <c r="BN37">
        <v>73.599999999999994</v>
      </c>
      <c r="BO37">
        <v>512795.9</v>
      </c>
      <c r="BP37">
        <v>10.130000000000001</v>
      </c>
      <c r="BQ37">
        <v>13.6</v>
      </c>
      <c r="BR37">
        <v>109.7</v>
      </c>
      <c r="BS37">
        <v>76</v>
      </c>
      <c r="BT37">
        <v>13.9</v>
      </c>
      <c r="BU37">
        <v>38.799999999999997</v>
      </c>
      <c r="BV37">
        <v>671441.2</v>
      </c>
      <c r="BW37">
        <v>10.14</v>
      </c>
      <c r="BX37">
        <v>17.2</v>
      </c>
      <c r="BY37">
        <v>161.19999999999999</v>
      </c>
      <c r="BZ37">
        <v>73.3</v>
      </c>
      <c r="CA37">
        <v>17.100000000000001</v>
      </c>
      <c r="CB37">
        <v>9.4</v>
      </c>
      <c r="CC37">
        <v>805947.1</v>
      </c>
      <c r="CD37">
        <v>10.95</v>
      </c>
      <c r="CE37">
        <v>23.6</v>
      </c>
      <c r="CF37">
        <v>213.9</v>
      </c>
      <c r="CG37">
        <v>64.400000000000006</v>
      </c>
      <c r="CH37">
        <v>18.2</v>
      </c>
      <c r="CI37">
        <v>28</v>
      </c>
      <c r="CJ37">
        <v>818689.6</v>
      </c>
      <c r="CK37">
        <v>13.76</v>
      </c>
      <c r="CL37">
        <v>25.4</v>
      </c>
      <c r="CM37">
        <v>230.3</v>
      </c>
      <c r="CN37">
        <v>64.3</v>
      </c>
      <c r="CP37" s="3">
        <v>133.12695639999998</v>
      </c>
      <c r="CQ37" s="3">
        <v>265.94031967119787</v>
      </c>
      <c r="CR37" s="3">
        <v>244.36784107392498</v>
      </c>
      <c r="CS37" s="3">
        <v>168.48709864302083</v>
      </c>
      <c r="CT37" s="3">
        <v>219.627445633875</v>
      </c>
      <c r="CU37" s="7">
        <v>0.06</v>
      </c>
      <c r="CV37" s="7">
        <v>0.14000000000000001</v>
      </c>
      <c r="CW37" s="7">
        <v>7.0000000000000007E-2</v>
      </c>
      <c r="CX37" s="7">
        <v>0.04</v>
      </c>
      <c r="CY37" s="3">
        <f t="shared" si="1"/>
        <v>70.747111660987827</v>
      </c>
      <c r="CZ37">
        <v>1426</v>
      </c>
      <c r="DA37">
        <v>702</v>
      </c>
      <c r="DB37">
        <v>459370</v>
      </c>
      <c r="DC37">
        <v>1326</v>
      </c>
      <c r="DE37" t="s">
        <v>146</v>
      </c>
      <c r="DK37" s="5">
        <v>1426</v>
      </c>
      <c r="DM37" s="5">
        <v>702</v>
      </c>
    </row>
    <row r="38" spans="1:117" x14ac:dyDescent="0.25">
      <c r="A38" t="s">
        <v>100</v>
      </c>
      <c r="B38" t="s">
        <v>118</v>
      </c>
      <c r="C38">
        <v>121.795591</v>
      </c>
      <c r="D38">
        <v>-33.609175</v>
      </c>
      <c r="E38">
        <v>2017</v>
      </c>
      <c r="F38" t="s">
        <v>135</v>
      </c>
      <c r="G38" t="s">
        <v>139</v>
      </c>
      <c r="H38" t="s">
        <v>142</v>
      </c>
      <c r="I38">
        <v>20.7</v>
      </c>
      <c r="J38">
        <v>72.8</v>
      </c>
      <c r="K38">
        <v>865049.59999999998</v>
      </c>
      <c r="L38">
        <v>13.23</v>
      </c>
      <c r="M38">
        <v>28.6</v>
      </c>
      <c r="N38">
        <v>260.5</v>
      </c>
      <c r="O38">
        <v>62.6</v>
      </c>
      <c r="P38">
        <v>19</v>
      </c>
      <c r="Q38">
        <v>183.2</v>
      </c>
      <c r="R38">
        <v>570801.1</v>
      </c>
      <c r="S38">
        <v>11.6</v>
      </c>
      <c r="T38">
        <v>21.7</v>
      </c>
      <c r="U38">
        <v>141.19999999999999</v>
      </c>
      <c r="V38">
        <v>76.900000000000006</v>
      </c>
      <c r="W38">
        <v>19.2</v>
      </c>
      <c r="X38">
        <v>29.4</v>
      </c>
      <c r="Y38">
        <v>573479.9</v>
      </c>
      <c r="Z38">
        <v>10.199999999999999</v>
      </c>
      <c r="AA38">
        <v>22.3</v>
      </c>
      <c r="AB38">
        <v>157.1</v>
      </c>
      <c r="AC38">
        <v>71.7</v>
      </c>
      <c r="AD38">
        <v>16.7</v>
      </c>
      <c r="AE38">
        <v>10.8</v>
      </c>
      <c r="AF38">
        <v>433761.3</v>
      </c>
      <c r="AG38">
        <v>7.89</v>
      </c>
      <c r="AH38">
        <v>20.100000000000001</v>
      </c>
      <c r="AI38">
        <v>110.3</v>
      </c>
      <c r="AJ38">
        <v>74.8</v>
      </c>
      <c r="AK38">
        <v>14.3</v>
      </c>
      <c r="AL38">
        <v>45.8</v>
      </c>
      <c r="AM38">
        <v>323941.8</v>
      </c>
      <c r="AN38">
        <v>9.07</v>
      </c>
      <c r="AO38">
        <v>15.4</v>
      </c>
      <c r="AP38">
        <v>80.2</v>
      </c>
      <c r="AQ38">
        <v>74.599999999999994</v>
      </c>
      <c r="AR38">
        <v>12.8</v>
      </c>
      <c r="AS38">
        <v>24.2</v>
      </c>
      <c r="AT38">
        <v>292989.09999999998</v>
      </c>
      <c r="AU38">
        <v>6.63</v>
      </c>
      <c r="AV38">
        <v>13.4</v>
      </c>
      <c r="AW38">
        <v>70.099999999999994</v>
      </c>
      <c r="AX38">
        <v>75.099999999999994</v>
      </c>
      <c r="AY38">
        <v>11</v>
      </c>
      <c r="AZ38">
        <v>72.599999999999994</v>
      </c>
      <c r="BA38">
        <v>321251.7</v>
      </c>
      <c r="BB38">
        <v>10.73</v>
      </c>
      <c r="BC38">
        <v>10.9</v>
      </c>
      <c r="BD38">
        <v>70.099999999999994</v>
      </c>
      <c r="BE38">
        <v>79.5</v>
      </c>
      <c r="BF38">
        <v>11.7</v>
      </c>
      <c r="BG38">
        <v>52.4</v>
      </c>
      <c r="BH38">
        <v>423383.6</v>
      </c>
      <c r="BI38">
        <v>10.24</v>
      </c>
      <c r="BJ38">
        <v>12.2</v>
      </c>
      <c r="BK38">
        <v>91.8</v>
      </c>
      <c r="BL38">
        <v>77.099999999999994</v>
      </c>
      <c r="BM38">
        <v>12.8</v>
      </c>
      <c r="BN38">
        <v>84.6</v>
      </c>
      <c r="BO38">
        <v>454972.8</v>
      </c>
      <c r="BP38">
        <v>8.2100000000000009</v>
      </c>
      <c r="BQ38">
        <v>15</v>
      </c>
      <c r="BR38">
        <v>96.2</v>
      </c>
      <c r="BS38">
        <v>80</v>
      </c>
      <c r="BT38">
        <v>15.1</v>
      </c>
      <c r="BU38">
        <v>26.6</v>
      </c>
      <c r="BV38">
        <v>696286.1</v>
      </c>
      <c r="BW38">
        <v>9.94</v>
      </c>
      <c r="BX38">
        <v>19.3</v>
      </c>
      <c r="BY38">
        <v>169.2</v>
      </c>
      <c r="BZ38">
        <v>70.3</v>
      </c>
      <c r="CA38">
        <v>17.5</v>
      </c>
      <c r="CB38">
        <v>54.1</v>
      </c>
      <c r="CC38">
        <v>694478.8</v>
      </c>
      <c r="CD38">
        <v>11.45</v>
      </c>
      <c r="CE38">
        <v>23.5</v>
      </c>
      <c r="CF38">
        <v>187.3</v>
      </c>
      <c r="CG38">
        <v>68.2</v>
      </c>
      <c r="CH38">
        <v>19.399999999999999</v>
      </c>
      <c r="CI38">
        <v>18</v>
      </c>
      <c r="CJ38">
        <v>854014.8</v>
      </c>
      <c r="CK38">
        <v>11.47</v>
      </c>
      <c r="CL38">
        <v>26.3</v>
      </c>
      <c r="CM38">
        <v>238.3</v>
      </c>
      <c r="CN38">
        <v>60.4</v>
      </c>
      <c r="CP38" s="3">
        <v>119.07146077499999</v>
      </c>
      <c r="CQ38" s="3">
        <v>235.14453102913441</v>
      </c>
      <c r="CR38" s="3">
        <v>211.74875985799997</v>
      </c>
      <c r="CS38" s="3">
        <v>150.26687985202918</v>
      </c>
      <c r="CT38" s="3">
        <v>166.58352970400003</v>
      </c>
      <c r="CU38" s="7">
        <v>0.06</v>
      </c>
      <c r="CV38" s="7">
        <v>0.14000000000000001</v>
      </c>
      <c r="CW38" s="7">
        <v>7.0000000000000007E-2</v>
      </c>
      <c r="CX38" s="7">
        <v>0.04</v>
      </c>
      <c r="CY38" s="3">
        <f t="shared" si="1"/>
        <v>60.935521019670105</v>
      </c>
      <c r="CZ38">
        <v>1498</v>
      </c>
      <c r="DA38">
        <v>652</v>
      </c>
      <c r="DB38">
        <v>501380</v>
      </c>
      <c r="DC38">
        <v>1435</v>
      </c>
      <c r="DE38" t="s">
        <v>146</v>
      </c>
      <c r="DK38" s="5">
        <v>1498</v>
      </c>
      <c r="DM38" s="5">
        <v>652</v>
      </c>
    </row>
    <row r="39" spans="1:117" x14ac:dyDescent="0.25">
      <c r="A39" t="s">
        <v>100</v>
      </c>
      <c r="B39" t="s">
        <v>118</v>
      </c>
      <c r="C39">
        <v>121.795591</v>
      </c>
      <c r="D39">
        <v>-33.609175</v>
      </c>
      <c r="E39">
        <v>2018</v>
      </c>
      <c r="F39" t="s">
        <v>135</v>
      </c>
      <c r="G39" t="s">
        <v>139</v>
      </c>
      <c r="H39" t="s">
        <v>142</v>
      </c>
      <c r="I39">
        <v>20.9</v>
      </c>
      <c r="J39">
        <v>5</v>
      </c>
      <c r="K39">
        <v>765022.3</v>
      </c>
      <c r="L39">
        <v>12.34</v>
      </c>
      <c r="M39">
        <v>29</v>
      </c>
      <c r="N39">
        <v>226.4</v>
      </c>
      <c r="O39">
        <v>63.3</v>
      </c>
      <c r="P39">
        <v>20.2</v>
      </c>
      <c r="Q39">
        <v>117</v>
      </c>
      <c r="R39">
        <v>566266.1</v>
      </c>
      <c r="S39">
        <v>10.96</v>
      </c>
      <c r="T39">
        <v>25</v>
      </c>
      <c r="U39">
        <v>149</v>
      </c>
      <c r="V39">
        <v>75.8</v>
      </c>
      <c r="W39">
        <v>19.3</v>
      </c>
      <c r="X39">
        <v>26.4</v>
      </c>
      <c r="Y39">
        <v>545820.30000000005</v>
      </c>
      <c r="Z39">
        <v>11.36</v>
      </c>
      <c r="AA39">
        <v>22.5</v>
      </c>
      <c r="AB39">
        <v>157.19999999999999</v>
      </c>
      <c r="AC39">
        <v>70.400000000000006</v>
      </c>
      <c r="AD39">
        <v>17.600000000000001</v>
      </c>
      <c r="AE39">
        <v>3.2</v>
      </c>
      <c r="AF39">
        <v>429695.6</v>
      </c>
      <c r="AG39">
        <v>9.33</v>
      </c>
      <c r="AH39">
        <v>20.3</v>
      </c>
      <c r="AI39">
        <v>112.3</v>
      </c>
      <c r="AJ39">
        <v>71.8</v>
      </c>
      <c r="AK39">
        <v>14.4</v>
      </c>
      <c r="AL39">
        <v>23</v>
      </c>
      <c r="AM39">
        <v>381441.9</v>
      </c>
      <c r="AN39">
        <v>10.74</v>
      </c>
      <c r="AO39">
        <v>15.4</v>
      </c>
      <c r="AP39">
        <v>113.2</v>
      </c>
      <c r="AQ39">
        <v>66.3</v>
      </c>
      <c r="AR39">
        <v>12.3</v>
      </c>
      <c r="AS39">
        <v>47.2</v>
      </c>
      <c r="AT39">
        <v>268117.5</v>
      </c>
      <c r="AU39">
        <v>8.9</v>
      </c>
      <c r="AV39">
        <v>12.6</v>
      </c>
      <c r="AW39">
        <v>65.7</v>
      </c>
      <c r="AX39">
        <v>78.400000000000006</v>
      </c>
      <c r="AY39">
        <v>12.3</v>
      </c>
      <c r="AZ39">
        <v>47.2</v>
      </c>
      <c r="BA39">
        <v>327327.90000000002</v>
      </c>
      <c r="BB39">
        <v>10.6</v>
      </c>
      <c r="BC39">
        <v>12</v>
      </c>
      <c r="BD39">
        <v>81.3</v>
      </c>
      <c r="BE39">
        <v>72.5</v>
      </c>
      <c r="BF39">
        <v>11.1</v>
      </c>
      <c r="BG39">
        <v>133</v>
      </c>
      <c r="BH39">
        <v>397020.5</v>
      </c>
      <c r="BI39">
        <v>10.76</v>
      </c>
      <c r="BJ39">
        <v>12</v>
      </c>
      <c r="BK39">
        <v>87</v>
      </c>
      <c r="BL39">
        <v>78.8</v>
      </c>
      <c r="BM39">
        <v>12.6</v>
      </c>
      <c r="BN39">
        <v>34.200000000000003</v>
      </c>
      <c r="BO39">
        <v>521787.4</v>
      </c>
      <c r="BP39">
        <v>8.76</v>
      </c>
      <c r="BQ39">
        <v>15.2</v>
      </c>
      <c r="BR39">
        <v>111.1</v>
      </c>
      <c r="BS39">
        <v>78.5</v>
      </c>
      <c r="BT39">
        <v>15.4</v>
      </c>
      <c r="BU39">
        <v>45.2</v>
      </c>
      <c r="BV39">
        <v>576719.80000000005</v>
      </c>
      <c r="BW39">
        <v>9.7799999999999994</v>
      </c>
      <c r="BX39">
        <v>19.3</v>
      </c>
      <c r="BY39">
        <v>134.80000000000001</v>
      </c>
      <c r="BZ39">
        <v>78.3</v>
      </c>
      <c r="CA39">
        <v>16.100000000000001</v>
      </c>
      <c r="CB39">
        <v>26</v>
      </c>
      <c r="CC39">
        <v>663442.1</v>
      </c>
      <c r="CD39">
        <v>9.85</v>
      </c>
      <c r="CE39">
        <v>21</v>
      </c>
      <c r="CF39">
        <v>156.4</v>
      </c>
      <c r="CG39">
        <v>72.8</v>
      </c>
      <c r="CH39">
        <v>19.3</v>
      </c>
      <c r="CI39">
        <v>17</v>
      </c>
      <c r="CJ39">
        <v>849890.2</v>
      </c>
      <c r="CK39">
        <v>11.21</v>
      </c>
      <c r="CL39">
        <v>27</v>
      </c>
      <c r="CM39">
        <v>235</v>
      </c>
      <c r="CN39">
        <v>64.400000000000006</v>
      </c>
      <c r="CP39" s="3">
        <v>149.45420497500001</v>
      </c>
      <c r="CQ39" s="3">
        <v>274.57347051901041</v>
      </c>
      <c r="CR39" s="3">
        <v>237.4236465424917</v>
      </c>
      <c r="CS39" s="3">
        <v>174.41377918435418</v>
      </c>
      <c r="CT39" s="3">
        <v>166.56083829114584</v>
      </c>
      <c r="CU39" s="7">
        <v>0.06</v>
      </c>
      <c r="CV39" s="7">
        <v>0.14000000000000001</v>
      </c>
      <c r="CW39" s="7">
        <v>7.0000000000000007E-2</v>
      </c>
      <c r="CX39" s="7">
        <v>0.04</v>
      </c>
      <c r="CY39" s="3">
        <f t="shared" si="1"/>
        <v>68.585116821640085</v>
      </c>
      <c r="CZ39">
        <v>1364</v>
      </c>
      <c r="DA39">
        <v>600</v>
      </c>
      <c r="DB39">
        <v>496060</v>
      </c>
      <c r="DC39">
        <v>1349</v>
      </c>
      <c r="DE39" t="s">
        <v>146</v>
      </c>
      <c r="DK39" s="5">
        <v>1364</v>
      </c>
      <c r="DM39" s="5">
        <v>600</v>
      </c>
    </row>
    <row r="40" spans="1:117" x14ac:dyDescent="0.25">
      <c r="A40" t="s">
        <v>100</v>
      </c>
      <c r="B40" t="s">
        <v>118</v>
      </c>
      <c r="C40">
        <v>121.795591</v>
      </c>
      <c r="D40">
        <v>-33.609175</v>
      </c>
      <c r="E40">
        <v>2019</v>
      </c>
      <c r="F40" t="s">
        <v>135</v>
      </c>
      <c r="G40" t="s">
        <v>139</v>
      </c>
      <c r="H40" t="s">
        <v>142</v>
      </c>
      <c r="I40">
        <v>20.8</v>
      </c>
      <c r="J40">
        <v>2.4</v>
      </c>
      <c r="K40">
        <v>849995.9</v>
      </c>
      <c r="L40">
        <v>11.88</v>
      </c>
      <c r="M40">
        <v>30.5</v>
      </c>
      <c r="N40">
        <v>246.7</v>
      </c>
      <c r="O40">
        <v>61.7</v>
      </c>
      <c r="P40">
        <v>20.8</v>
      </c>
      <c r="Q40">
        <v>1.8</v>
      </c>
      <c r="R40">
        <v>672148.5</v>
      </c>
      <c r="S40">
        <v>11.97</v>
      </c>
      <c r="T40">
        <v>29.8</v>
      </c>
      <c r="U40">
        <v>199</v>
      </c>
      <c r="V40">
        <v>63.7</v>
      </c>
      <c r="W40">
        <v>19.5</v>
      </c>
      <c r="X40">
        <v>12.4</v>
      </c>
      <c r="Y40">
        <v>557718.30000000005</v>
      </c>
      <c r="Z40">
        <v>10.27</v>
      </c>
      <c r="AA40">
        <v>25.3</v>
      </c>
      <c r="AB40">
        <v>157</v>
      </c>
      <c r="AC40">
        <v>67.5</v>
      </c>
      <c r="AD40">
        <v>16.899999999999999</v>
      </c>
      <c r="AE40">
        <v>29.8</v>
      </c>
      <c r="AF40">
        <v>406329.1</v>
      </c>
      <c r="AG40">
        <v>11.11</v>
      </c>
      <c r="AH40">
        <v>19.7</v>
      </c>
      <c r="AI40">
        <v>122.4</v>
      </c>
      <c r="AJ40">
        <v>68.3</v>
      </c>
      <c r="AK40">
        <v>13.2</v>
      </c>
      <c r="AL40">
        <v>44.8</v>
      </c>
      <c r="AM40">
        <v>308876.09999999998</v>
      </c>
      <c r="AN40">
        <v>8.91</v>
      </c>
      <c r="AO40">
        <v>14</v>
      </c>
      <c r="AP40">
        <v>79.7</v>
      </c>
      <c r="AQ40">
        <v>71.400000000000006</v>
      </c>
      <c r="AR40">
        <v>12.3</v>
      </c>
      <c r="AS40">
        <v>72.400000000000006</v>
      </c>
      <c r="AT40">
        <v>269633.7</v>
      </c>
      <c r="AU40">
        <v>11.81</v>
      </c>
      <c r="AV40">
        <v>12</v>
      </c>
      <c r="AW40">
        <v>75.900000000000006</v>
      </c>
      <c r="AX40">
        <v>68.900000000000006</v>
      </c>
      <c r="AY40">
        <v>11.6</v>
      </c>
      <c r="AZ40">
        <v>13</v>
      </c>
      <c r="BA40">
        <v>309752.40000000002</v>
      </c>
      <c r="BB40">
        <v>8.93</v>
      </c>
      <c r="BC40">
        <v>11.8</v>
      </c>
      <c r="BD40">
        <v>70.099999999999994</v>
      </c>
      <c r="BE40">
        <v>75.099999999999994</v>
      </c>
      <c r="BF40">
        <v>11.8</v>
      </c>
      <c r="BG40">
        <v>91.2</v>
      </c>
      <c r="BH40">
        <v>414776.5</v>
      </c>
      <c r="BI40">
        <v>9.31</v>
      </c>
      <c r="BJ40">
        <v>12.5</v>
      </c>
      <c r="BK40">
        <v>99.8</v>
      </c>
      <c r="BL40">
        <v>72.400000000000006</v>
      </c>
      <c r="BM40">
        <v>14.5</v>
      </c>
      <c r="BN40">
        <v>28.2</v>
      </c>
      <c r="BO40">
        <v>540423.6</v>
      </c>
      <c r="BP40">
        <v>9.41</v>
      </c>
      <c r="BQ40">
        <v>16.399999999999999</v>
      </c>
      <c r="BR40">
        <v>134.4</v>
      </c>
      <c r="BS40">
        <v>69.2</v>
      </c>
      <c r="BT40">
        <v>15.9</v>
      </c>
      <c r="BU40">
        <v>36.6</v>
      </c>
      <c r="BV40">
        <v>690036.1</v>
      </c>
      <c r="BW40">
        <v>10.07</v>
      </c>
      <c r="BX40">
        <v>20.6</v>
      </c>
      <c r="BY40">
        <v>181.2</v>
      </c>
      <c r="BZ40">
        <v>69.599999999999994</v>
      </c>
      <c r="CA40">
        <v>16.7</v>
      </c>
      <c r="CB40">
        <v>9.1999999999999993</v>
      </c>
      <c r="CC40">
        <v>791099.1</v>
      </c>
      <c r="CD40">
        <v>11.08</v>
      </c>
      <c r="CE40">
        <v>25.4</v>
      </c>
      <c r="CF40">
        <v>211.1</v>
      </c>
      <c r="CG40">
        <v>63.9</v>
      </c>
      <c r="CH40">
        <v>20.9</v>
      </c>
      <c r="CI40">
        <v>30.6</v>
      </c>
      <c r="CJ40">
        <v>908127.6</v>
      </c>
      <c r="CK40">
        <v>11.83</v>
      </c>
      <c r="CL40">
        <v>30.5</v>
      </c>
      <c r="CM40">
        <v>267.3</v>
      </c>
      <c r="CN40">
        <v>51.4</v>
      </c>
      <c r="CP40" s="3">
        <v>151.20769046666666</v>
      </c>
      <c r="CQ40" s="3">
        <v>267.33967790703502</v>
      </c>
      <c r="CR40" s="3">
        <v>246.94953969827165</v>
      </c>
      <c r="CS40" s="3">
        <v>186.82042264949916</v>
      </c>
      <c r="CT40" s="3">
        <v>164.67061180174997</v>
      </c>
      <c r="CU40" s="7">
        <v>0.06</v>
      </c>
      <c r="CV40" s="7">
        <v>0.14000000000000001</v>
      </c>
      <c r="CW40" s="7">
        <v>7.0000000000000007E-2</v>
      </c>
      <c r="CX40" s="7">
        <v>0.04</v>
      </c>
      <c r="CY40" s="3">
        <f t="shared" si="1"/>
        <v>70.277570289715072</v>
      </c>
      <c r="CZ40">
        <v>1772</v>
      </c>
      <c r="DA40">
        <v>669</v>
      </c>
      <c r="DB40">
        <v>656390</v>
      </c>
      <c r="DC40">
        <v>1780</v>
      </c>
      <c r="DE40" t="s">
        <v>146</v>
      </c>
      <c r="DK40" s="5">
        <v>1772</v>
      </c>
      <c r="DM40" s="5">
        <v>669</v>
      </c>
    </row>
    <row r="41" spans="1:117" x14ac:dyDescent="0.25">
      <c r="A41" t="s">
        <v>100</v>
      </c>
      <c r="B41" t="s">
        <v>118</v>
      </c>
      <c r="C41">
        <v>121.795591</v>
      </c>
      <c r="D41">
        <v>-33.609175</v>
      </c>
      <c r="E41">
        <v>2020</v>
      </c>
      <c r="F41" t="s">
        <v>135</v>
      </c>
      <c r="G41" t="s">
        <v>139</v>
      </c>
      <c r="H41" t="s">
        <v>142</v>
      </c>
      <c r="I41">
        <v>20.3</v>
      </c>
      <c r="J41">
        <v>38</v>
      </c>
      <c r="K41">
        <v>781924.5</v>
      </c>
      <c r="L41">
        <v>12.48</v>
      </c>
      <c r="M41">
        <v>28</v>
      </c>
      <c r="N41">
        <v>223.9</v>
      </c>
      <c r="O41">
        <v>65.400000000000006</v>
      </c>
      <c r="P41">
        <v>20.5</v>
      </c>
      <c r="Q41">
        <v>37.6</v>
      </c>
      <c r="R41">
        <v>624260.80000000005</v>
      </c>
      <c r="S41">
        <v>12.62</v>
      </c>
      <c r="T41">
        <v>27.2</v>
      </c>
      <c r="U41">
        <v>188.3</v>
      </c>
      <c r="V41">
        <v>65.400000000000006</v>
      </c>
      <c r="W41">
        <v>19.100000000000001</v>
      </c>
      <c r="X41">
        <v>22</v>
      </c>
      <c r="Y41">
        <v>570002</v>
      </c>
      <c r="Z41">
        <v>11.23</v>
      </c>
      <c r="AA41">
        <v>23.7</v>
      </c>
      <c r="AB41">
        <v>158.19999999999999</v>
      </c>
      <c r="AC41">
        <v>69.3</v>
      </c>
      <c r="AD41">
        <v>17.399999999999999</v>
      </c>
      <c r="AE41">
        <v>21.6</v>
      </c>
      <c r="AF41">
        <v>430699.3</v>
      </c>
      <c r="AG41">
        <v>9.7799999999999994</v>
      </c>
      <c r="AH41">
        <v>20.8</v>
      </c>
      <c r="AI41">
        <v>122.4</v>
      </c>
      <c r="AJ41">
        <v>68.900000000000006</v>
      </c>
      <c r="AK41">
        <v>14.1</v>
      </c>
      <c r="AL41">
        <v>36.4</v>
      </c>
      <c r="AM41">
        <v>350500.1</v>
      </c>
      <c r="AN41">
        <v>11.74</v>
      </c>
      <c r="AO41">
        <v>14.9</v>
      </c>
      <c r="AP41">
        <v>105.1</v>
      </c>
      <c r="AQ41">
        <v>66.8</v>
      </c>
      <c r="AR41">
        <v>13</v>
      </c>
      <c r="AS41">
        <v>47.2</v>
      </c>
      <c r="AT41">
        <v>312991.3</v>
      </c>
      <c r="AU41">
        <v>10.8</v>
      </c>
      <c r="AV41">
        <v>12.3</v>
      </c>
      <c r="AW41">
        <v>81.599999999999994</v>
      </c>
      <c r="AX41">
        <v>68.7</v>
      </c>
      <c r="AY41">
        <v>11.6</v>
      </c>
      <c r="AZ41">
        <v>92.4</v>
      </c>
      <c r="BA41">
        <v>344843.3</v>
      </c>
      <c r="BB41">
        <v>9.99</v>
      </c>
      <c r="BC41">
        <v>11.7</v>
      </c>
      <c r="BD41">
        <v>80.3</v>
      </c>
      <c r="BE41">
        <v>76.599999999999994</v>
      </c>
      <c r="BF41">
        <v>11.9</v>
      </c>
      <c r="BG41">
        <v>155</v>
      </c>
      <c r="BH41">
        <v>409229.3</v>
      </c>
      <c r="BI41">
        <v>10.18</v>
      </c>
      <c r="BJ41">
        <v>13</v>
      </c>
      <c r="BK41">
        <v>80.5</v>
      </c>
      <c r="BL41">
        <v>61.9</v>
      </c>
      <c r="BM41">
        <v>13.2</v>
      </c>
      <c r="BN41">
        <v>40.6</v>
      </c>
      <c r="BO41">
        <v>535353.19999999995</v>
      </c>
      <c r="BP41">
        <v>10.92</v>
      </c>
      <c r="BQ41">
        <v>16.2</v>
      </c>
      <c r="BR41">
        <v>127.1</v>
      </c>
      <c r="BS41">
        <v>73.900000000000006</v>
      </c>
      <c r="BT41">
        <v>15.2</v>
      </c>
      <c r="BU41">
        <v>30.8</v>
      </c>
      <c r="BV41">
        <v>691101.5</v>
      </c>
      <c r="BW41">
        <v>10.52</v>
      </c>
      <c r="BX41">
        <v>20.2</v>
      </c>
      <c r="BY41">
        <v>171.2</v>
      </c>
      <c r="BZ41">
        <v>70.400000000000006</v>
      </c>
      <c r="CA41">
        <v>16.899999999999999</v>
      </c>
      <c r="CB41">
        <v>66.2</v>
      </c>
      <c r="CC41">
        <v>747620.2</v>
      </c>
      <c r="CD41">
        <v>11.65</v>
      </c>
      <c r="CE41">
        <v>22.5</v>
      </c>
      <c r="CF41">
        <v>199.1</v>
      </c>
      <c r="CG41">
        <v>68.400000000000006</v>
      </c>
      <c r="CH41">
        <v>18.399999999999999</v>
      </c>
      <c r="CI41">
        <v>7.4</v>
      </c>
      <c r="CJ41">
        <v>836227.6</v>
      </c>
      <c r="CK41">
        <v>12.96</v>
      </c>
      <c r="CL41">
        <v>27.3</v>
      </c>
      <c r="CM41">
        <v>238.7</v>
      </c>
      <c r="CN41">
        <v>60.8</v>
      </c>
      <c r="CP41" s="3">
        <v>137.12151142499999</v>
      </c>
      <c r="CQ41" s="3">
        <v>183.94377395835087</v>
      </c>
      <c r="CR41" s="3">
        <v>171.50265380089249</v>
      </c>
      <c r="CS41" s="3">
        <v>153.47587761539251</v>
      </c>
      <c r="CT41" s="3">
        <v>168.62831412656331</v>
      </c>
      <c r="CU41" s="7">
        <v>0.06</v>
      </c>
      <c r="CV41" s="7">
        <v>0.14000000000000001</v>
      </c>
      <c r="CW41" s="7">
        <v>7.0000000000000007E-2</v>
      </c>
      <c r="CX41" s="7">
        <v>0.04</v>
      </c>
      <c r="CY41" s="3">
        <f t="shared" si="1"/>
        <v>52.535441967766019</v>
      </c>
      <c r="CZ41">
        <v>1005</v>
      </c>
      <c r="DA41">
        <v>646</v>
      </c>
      <c r="DB41">
        <v>524950</v>
      </c>
      <c r="DC41">
        <v>1056</v>
      </c>
      <c r="DE41" t="s">
        <v>146</v>
      </c>
      <c r="DK41" s="5">
        <v>1005</v>
      </c>
      <c r="DM41" s="5">
        <v>646</v>
      </c>
    </row>
    <row r="42" spans="1:117" x14ac:dyDescent="0.25">
      <c r="A42" t="s">
        <v>101</v>
      </c>
      <c r="B42" t="s">
        <v>119</v>
      </c>
      <c r="C42">
        <v>114.776781</v>
      </c>
      <c r="D42">
        <v>-28.457778999999999</v>
      </c>
      <c r="E42">
        <v>2013</v>
      </c>
      <c r="F42" t="s">
        <v>136</v>
      </c>
      <c r="G42" t="s">
        <v>141</v>
      </c>
      <c r="H42" t="s">
        <v>144</v>
      </c>
      <c r="I42">
        <v>25.9</v>
      </c>
      <c r="J42">
        <v>17</v>
      </c>
      <c r="K42">
        <v>728731.3</v>
      </c>
      <c r="L42">
        <v>20.21</v>
      </c>
      <c r="M42">
        <v>31.6</v>
      </c>
      <c r="N42">
        <v>276.5</v>
      </c>
      <c r="O42">
        <v>46.2</v>
      </c>
      <c r="P42">
        <v>27.5</v>
      </c>
      <c r="Q42">
        <v>0</v>
      </c>
      <c r="R42">
        <v>772895.1</v>
      </c>
      <c r="S42">
        <v>18.36</v>
      </c>
      <c r="T42">
        <v>33.5</v>
      </c>
      <c r="U42">
        <v>321.60000000000002</v>
      </c>
      <c r="V42">
        <v>40.5</v>
      </c>
      <c r="W42">
        <v>22.8</v>
      </c>
      <c r="X42">
        <v>44.4</v>
      </c>
      <c r="Y42">
        <v>707293.9</v>
      </c>
      <c r="Z42">
        <v>16.61</v>
      </c>
      <c r="AA42">
        <v>28</v>
      </c>
      <c r="AB42">
        <v>248.2</v>
      </c>
      <c r="AC42">
        <v>58.4</v>
      </c>
      <c r="AD42">
        <v>22.8</v>
      </c>
      <c r="AE42">
        <v>3.2</v>
      </c>
      <c r="AF42">
        <v>529913.59999999998</v>
      </c>
      <c r="AG42">
        <v>12.34</v>
      </c>
      <c r="AH42">
        <v>26.6</v>
      </c>
      <c r="AI42">
        <v>191.3</v>
      </c>
      <c r="AJ42">
        <v>57.6</v>
      </c>
      <c r="AK42">
        <v>16.100000000000001</v>
      </c>
      <c r="AL42">
        <v>80.2</v>
      </c>
      <c r="AM42">
        <v>418624.6</v>
      </c>
      <c r="AN42">
        <v>11.26</v>
      </c>
      <c r="AO42">
        <v>18</v>
      </c>
      <c r="AP42">
        <v>113.7</v>
      </c>
      <c r="AQ42">
        <v>71.099999999999994</v>
      </c>
      <c r="AR42">
        <v>13.3</v>
      </c>
      <c r="AS42">
        <v>3.6</v>
      </c>
      <c r="AT42">
        <v>404039.9</v>
      </c>
      <c r="AU42">
        <v>9.27</v>
      </c>
      <c r="AV42">
        <v>15.7</v>
      </c>
      <c r="AW42">
        <v>104</v>
      </c>
      <c r="AX42">
        <v>69.099999999999994</v>
      </c>
      <c r="AY42">
        <v>12</v>
      </c>
      <c r="AZ42">
        <v>52</v>
      </c>
      <c r="BA42">
        <v>426181.5</v>
      </c>
      <c r="BB42">
        <v>10.06</v>
      </c>
      <c r="BC42">
        <v>14</v>
      </c>
      <c r="BD42">
        <v>106.5</v>
      </c>
      <c r="BE42">
        <v>70.5</v>
      </c>
      <c r="BF42">
        <v>13.5</v>
      </c>
      <c r="BG42">
        <v>65.8</v>
      </c>
      <c r="BH42">
        <v>484759</v>
      </c>
      <c r="BI42">
        <v>9.44</v>
      </c>
      <c r="BJ42">
        <v>16.100000000000001</v>
      </c>
      <c r="BK42">
        <v>113.1</v>
      </c>
      <c r="BL42">
        <v>77</v>
      </c>
      <c r="BM42">
        <v>14.4</v>
      </c>
      <c r="BN42">
        <v>51.2</v>
      </c>
      <c r="BO42">
        <v>582348</v>
      </c>
      <c r="BP42">
        <v>11.76</v>
      </c>
      <c r="BQ42">
        <v>17.899999999999999</v>
      </c>
      <c r="BR42">
        <v>131.69999999999999</v>
      </c>
      <c r="BS42">
        <v>77.900000000000006</v>
      </c>
      <c r="BT42">
        <v>18.5</v>
      </c>
      <c r="BU42">
        <v>23.8</v>
      </c>
      <c r="BV42">
        <v>839877.6</v>
      </c>
      <c r="BW42">
        <v>11.84</v>
      </c>
      <c r="BX42">
        <v>24.4</v>
      </c>
      <c r="BY42">
        <v>236.7</v>
      </c>
      <c r="BZ42">
        <v>64.7</v>
      </c>
      <c r="CA42">
        <v>22.6</v>
      </c>
      <c r="CB42">
        <v>0.6</v>
      </c>
      <c r="CC42">
        <v>889369</v>
      </c>
      <c r="CD42">
        <v>14.49</v>
      </c>
      <c r="CE42">
        <v>29.6</v>
      </c>
      <c r="CF42">
        <v>279.5</v>
      </c>
      <c r="CG42">
        <v>59.4</v>
      </c>
      <c r="CH42">
        <v>24.8</v>
      </c>
      <c r="CI42">
        <v>18</v>
      </c>
      <c r="CJ42">
        <v>992204.9</v>
      </c>
      <c r="CK42">
        <v>16.850000000000001</v>
      </c>
      <c r="CL42">
        <v>31.4</v>
      </c>
      <c r="CM42">
        <v>340.1</v>
      </c>
      <c r="CN42">
        <v>51.5</v>
      </c>
      <c r="CP42" s="3">
        <v>344.25478384166667</v>
      </c>
      <c r="CQ42" s="3">
        <v>485.1324771412531</v>
      </c>
      <c r="CR42" s="3">
        <v>453.99912920229173</v>
      </c>
      <c r="CS42" s="3">
        <v>379.15555696741984</v>
      </c>
      <c r="CT42" s="3">
        <v>431.36433691804177</v>
      </c>
      <c r="CU42" s="7">
        <v>0.06</v>
      </c>
      <c r="CV42" s="7">
        <v>0.14000000000000001</v>
      </c>
      <c r="CW42" s="7">
        <v>7.0000000000000007E-2</v>
      </c>
      <c r="CX42" s="7">
        <v>0.04</v>
      </c>
      <c r="CY42" s="3">
        <f t="shared" si="1"/>
        <v>136.46328918123712</v>
      </c>
      <c r="CZ42">
        <v>1198</v>
      </c>
      <c r="DA42">
        <v>1617</v>
      </c>
      <c r="DB42">
        <v>619230</v>
      </c>
      <c r="DC42">
        <v>1156</v>
      </c>
      <c r="DE42" t="s">
        <v>147</v>
      </c>
      <c r="DK42" s="5">
        <v>827.50527831094053</v>
      </c>
      <c r="DM42" s="5">
        <v>1005.0182038834952</v>
      </c>
    </row>
    <row r="43" spans="1:117" x14ac:dyDescent="0.25">
      <c r="A43" t="s">
        <v>101</v>
      </c>
      <c r="B43" t="s">
        <v>119</v>
      </c>
      <c r="C43">
        <v>114.776781</v>
      </c>
      <c r="D43">
        <v>-28.457778999999999</v>
      </c>
      <c r="E43">
        <v>2014</v>
      </c>
      <c r="F43" t="s">
        <v>136</v>
      </c>
      <c r="G43" t="s">
        <v>141</v>
      </c>
      <c r="H43" t="s">
        <v>144</v>
      </c>
      <c r="I43">
        <v>26</v>
      </c>
      <c r="J43">
        <v>14.6</v>
      </c>
      <c r="K43">
        <v>942960.1</v>
      </c>
      <c r="L43">
        <v>17.91</v>
      </c>
      <c r="M43">
        <v>32.200000000000003</v>
      </c>
      <c r="N43">
        <v>335.3</v>
      </c>
      <c r="O43">
        <v>55.6</v>
      </c>
      <c r="P43">
        <v>28.3</v>
      </c>
      <c r="Q43">
        <v>4</v>
      </c>
      <c r="R43">
        <v>809654.6</v>
      </c>
      <c r="S43">
        <v>17.16</v>
      </c>
      <c r="T43">
        <v>24.2</v>
      </c>
      <c r="U43">
        <v>306.3</v>
      </c>
      <c r="V43">
        <v>47.4</v>
      </c>
      <c r="W43">
        <v>24.7</v>
      </c>
      <c r="X43">
        <v>0.4</v>
      </c>
      <c r="Y43">
        <v>697941</v>
      </c>
      <c r="Z43">
        <v>13.51</v>
      </c>
      <c r="AA43">
        <v>11</v>
      </c>
      <c r="AB43">
        <v>249.8</v>
      </c>
      <c r="AC43">
        <v>58.1</v>
      </c>
      <c r="AD43">
        <v>21.2</v>
      </c>
      <c r="AE43">
        <v>51</v>
      </c>
      <c r="AF43">
        <v>546918.30000000005</v>
      </c>
      <c r="AG43">
        <v>11.05</v>
      </c>
      <c r="AH43">
        <v>25.6</v>
      </c>
      <c r="AI43">
        <v>180.6</v>
      </c>
      <c r="AJ43">
        <v>60.6</v>
      </c>
      <c r="AK43">
        <v>16.600000000000001</v>
      </c>
      <c r="AL43">
        <v>99.8</v>
      </c>
      <c r="AM43">
        <v>402081.5</v>
      </c>
      <c r="AN43">
        <v>8.33</v>
      </c>
      <c r="AO43">
        <v>18.100000000000001</v>
      </c>
      <c r="AP43">
        <v>100.6</v>
      </c>
      <c r="AQ43">
        <v>78.8</v>
      </c>
      <c r="AR43">
        <v>13.6</v>
      </c>
      <c r="AS43">
        <v>23.6</v>
      </c>
      <c r="AT43">
        <v>395192.2</v>
      </c>
      <c r="AU43">
        <v>8.3699999999999992</v>
      </c>
      <c r="AV43">
        <v>14.6</v>
      </c>
      <c r="AW43">
        <v>102</v>
      </c>
      <c r="AX43">
        <v>68.900000000000006</v>
      </c>
      <c r="AY43">
        <v>12.6</v>
      </c>
      <c r="AZ43">
        <v>73.599999999999994</v>
      </c>
      <c r="BA43">
        <v>415534.3</v>
      </c>
      <c r="BB43">
        <v>6.66</v>
      </c>
      <c r="BC43">
        <v>14.4</v>
      </c>
      <c r="BD43">
        <v>86.5</v>
      </c>
      <c r="BE43">
        <v>82.8</v>
      </c>
      <c r="BF43">
        <v>15.9</v>
      </c>
      <c r="BG43">
        <v>26.2</v>
      </c>
      <c r="BH43">
        <v>529079.80000000005</v>
      </c>
      <c r="BI43">
        <v>5.86</v>
      </c>
      <c r="BJ43">
        <v>18.3</v>
      </c>
      <c r="BK43">
        <v>134</v>
      </c>
      <c r="BL43">
        <v>69.900000000000006</v>
      </c>
      <c r="BM43">
        <v>16.899999999999999</v>
      </c>
      <c r="BN43">
        <v>83.8</v>
      </c>
      <c r="BO43">
        <v>584342.19999999995</v>
      </c>
      <c r="BP43">
        <v>8.8800000000000008</v>
      </c>
      <c r="BQ43">
        <v>20.3</v>
      </c>
      <c r="BR43">
        <v>146.30000000000001</v>
      </c>
      <c r="BS43">
        <v>74.900000000000006</v>
      </c>
      <c r="BT43">
        <v>19</v>
      </c>
      <c r="BU43">
        <v>4</v>
      </c>
      <c r="BV43">
        <v>813722.3</v>
      </c>
      <c r="BW43">
        <v>11.11</v>
      </c>
      <c r="BX43">
        <v>25.3</v>
      </c>
      <c r="BY43">
        <v>228</v>
      </c>
      <c r="BZ43">
        <v>67</v>
      </c>
      <c r="CA43">
        <v>20.5</v>
      </c>
      <c r="CB43">
        <v>5.6</v>
      </c>
      <c r="CC43">
        <v>878767.6</v>
      </c>
      <c r="CD43">
        <v>13.28</v>
      </c>
      <c r="CE43">
        <v>28.4</v>
      </c>
      <c r="CF43">
        <v>262.8</v>
      </c>
      <c r="CG43">
        <v>61.7</v>
      </c>
      <c r="CH43">
        <v>23.2</v>
      </c>
      <c r="CI43">
        <v>0</v>
      </c>
      <c r="CJ43">
        <v>998736.2</v>
      </c>
      <c r="CK43">
        <v>17.010000000000002</v>
      </c>
      <c r="CL43">
        <v>31.3</v>
      </c>
      <c r="CM43">
        <v>331.5</v>
      </c>
      <c r="CN43">
        <v>55.2</v>
      </c>
      <c r="CP43" s="3">
        <v>283.32452813333333</v>
      </c>
      <c r="CQ43" s="3">
        <v>368.2939243092531</v>
      </c>
      <c r="CR43" s="3">
        <v>330.59328943508331</v>
      </c>
      <c r="CS43" s="3">
        <v>279.4513129062604</v>
      </c>
      <c r="CT43" s="3">
        <v>325.40383910199995</v>
      </c>
      <c r="CU43" s="7">
        <v>0.06</v>
      </c>
      <c r="CV43" s="7">
        <v>0.14000000000000001</v>
      </c>
      <c r="CW43" s="7">
        <v>7.0000000000000007E-2</v>
      </c>
      <c r="CX43" s="7">
        <v>0.04</v>
      </c>
      <c r="CY43" s="3">
        <f t="shared" si="1"/>
        <v>100.95844144698508</v>
      </c>
      <c r="CZ43">
        <v>2476</v>
      </c>
      <c r="DA43">
        <v>1792</v>
      </c>
      <c r="DB43">
        <v>885690</v>
      </c>
      <c r="DC43">
        <v>2342</v>
      </c>
      <c r="DE43" t="s">
        <v>147</v>
      </c>
      <c r="DK43" s="5">
        <v>1710.2696737044146</v>
      </c>
      <c r="DM43" s="5">
        <v>1113.7864077669904</v>
      </c>
    </row>
    <row r="44" spans="1:117" x14ac:dyDescent="0.25">
      <c r="A44" t="s">
        <v>101</v>
      </c>
      <c r="B44" t="s">
        <v>119</v>
      </c>
      <c r="C44">
        <v>114.776781</v>
      </c>
      <c r="D44">
        <v>-28.457778999999999</v>
      </c>
      <c r="E44">
        <v>2015</v>
      </c>
      <c r="F44" t="s">
        <v>136</v>
      </c>
      <c r="G44" t="s">
        <v>141</v>
      </c>
      <c r="H44" t="s">
        <v>144</v>
      </c>
      <c r="I44">
        <v>26.5</v>
      </c>
      <c r="J44">
        <v>5.2</v>
      </c>
      <c r="K44">
        <v>954101.5</v>
      </c>
      <c r="L44">
        <v>14.98</v>
      </c>
      <c r="M44">
        <v>34.299999999999997</v>
      </c>
      <c r="N44">
        <v>342.7</v>
      </c>
      <c r="O44">
        <v>50.3</v>
      </c>
      <c r="P44">
        <v>26.7</v>
      </c>
      <c r="Q44">
        <v>4</v>
      </c>
      <c r="R44">
        <v>720843.3</v>
      </c>
      <c r="S44">
        <v>14.13</v>
      </c>
      <c r="T44">
        <v>33.6</v>
      </c>
      <c r="U44">
        <v>249.4</v>
      </c>
      <c r="V44">
        <v>56.8</v>
      </c>
      <c r="W44">
        <v>23.9</v>
      </c>
      <c r="X44">
        <v>76.400000000000006</v>
      </c>
      <c r="Y44">
        <v>665637</v>
      </c>
      <c r="Z44">
        <v>11.07</v>
      </c>
      <c r="AA44">
        <v>28</v>
      </c>
      <c r="AB44">
        <v>216.3</v>
      </c>
      <c r="AC44">
        <v>62.7</v>
      </c>
      <c r="AD44">
        <v>20.9</v>
      </c>
      <c r="AE44">
        <v>43.2</v>
      </c>
      <c r="AF44">
        <v>507728.1</v>
      </c>
      <c r="AG44">
        <v>7.85</v>
      </c>
      <c r="AH44">
        <v>23.1</v>
      </c>
      <c r="AI44">
        <v>152.5</v>
      </c>
      <c r="AJ44">
        <v>62.4</v>
      </c>
      <c r="AK44">
        <v>16.7</v>
      </c>
      <c r="AL44">
        <v>26</v>
      </c>
      <c r="AM44">
        <v>489047.9</v>
      </c>
      <c r="AN44">
        <v>6.95</v>
      </c>
      <c r="AO44">
        <v>18.899999999999999</v>
      </c>
      <c r="AP44">
        <v>137.9</v>
      </c>
      <c r="AQ44">
        <v>61.2</v>
      </c>
      <c r="AR44">
        <v>15.4</v>
      </c>
      <c r="AS44">
        <v>60.4</v>
      </c>
      <c r="AT44">
        <v>361876.7</v>
      </c>
      <c r="AU44">
        <v>5.63</v>
      </c>
      <c r="AV44">
        <v>16.5</v>
      </c>
      <c r="AW44">
        <v>88.4</v>
      </c>
      <c r="AX44">
        <v>73.400000000000006</v>
      </c>
      <c r="AY44">
        <v>13.7</v>
      </c>
      <c r="AZ44">
        <v>78.400000000000006</v>
      </c>
      <c r="BA44">
        <v>376194.4</v>
      </c>
      <c r="BB44">
        <v>4.1500000000000004</v>
      </c>
      <c r="BC44">
        <v>15.2</v>
      </c>
      <c r="BD44">
        <v>79.2</v>
      </c>
      <c r="BE44">
        <v>78.5</v>
      </c>
      <c r="BF44">
        <v>13.5</v>
      </c>
      <c r="BG44">
        <v>61.8</v>
      </c>
      <c r="BH44">
        <v>490985.8</v>
      </c>
      <c r="BI44">
        <v>4.43</v>
      </c>
      <c r="BJ44">
        <v>15.8</v>
      </c>
      <c r="BK44">
        <v>97.3</v>
      </c>
      <c r="BL44">
        <v>82.4</v>
      </c>
      <c r="BM44">
        <v>16.3</v>
      </c>
      <c r="BN44">
        <v>10.4</v>
      </c>
      <c r="BO44">
        <v>688777.3</v>
      </c>
      <c r="BP44">
        <v>7.16</v>
      </c>
      <c r="BQ44">
        <v>20.8</v>
      </c>
      <c r="BR44">
        <v>183.2</v>
      </c>
      <c r="BS44">
        <v>62.4</v>
      </c>
      <c r="BT44">
        <v>20</v>
      </c>
      <c r="BU44">
        <v>1.2</v>
      </c>
      <c r="BV44">
        <v>712392.6</v>
      </c>
      <c r="BW44">
        <v>9.56</v>
      </c>
      <c r="BX44">
        <v>26</v>
      </c>
      <c r="BY44">
        <v>210</v>
      </c>
      <c r="BZ44">
        <v>61.9</v>
      </c>
      <c r="CA44">
        <v>21.9</v>
      </c>
      <c r="CB44">
        <v>35</v>
      </c>
      <c r="CC44">
        <v>745973.8</v>
      </c>
      <c r="CD44">
        <v>15</v>
      </c>
      <c r="CE44">
        <v>27.7</v>
      </c>
      <c r="CF44">
        <v>234.6</v>
      </c>
      <c r="CG44">
        <v>61.5</v>
      </c>
      <c r="CH44">
        <v>23.4</v>
      </c>
      <c r="CI44">
        <v>2.4</v>
      </c>
      <c r="CJ44">
        <v>944248.5</v>
      </c>
      <c r="CK44">
        <v>17.690000000000001</v>
      </c>
      <c r="CL44">
        <v>29.7</v>
      </c>
      <c r="CM44">
        <v>316.3</v>
      </c>
      <c r="CN44">
        <v>55.5</v>
      </c>
      <c r="CP44" s="3">
        <v>204.8839893083333</v>
      </c>
      <c r="CQ44" s="3">
        <v>357.71587473362189</v>
      </c>
      <c r="CR44" s="3">
        <v>322.98543302087501</v>
      </c>
      <c r="CS44" s="3">
        <v>251.33925340010413</v>
      </c>
      <c r="CT44" s="3">
        <v>238.07175714163543</v>
      </c>
      <c r="CU44" s="7">
        <v>0.06</v>
      </c>
      <c r="CV44" s="7">
        <v>0.14000000000000001</v>
      </c>
      <c r="CW44" s="7">
        <v>7.0000000000000007E-2</v>
      </c>
      <c r="CX44" s="7">
        <v>0.04</v>
      </c>
      <c r="CY44" s="3">
        <f t="shared" si="1"/>
        <v>93.797531130612526</v>
      </c>
      <c r="CZ44">
        <v>2505</v>
      </c>
      <c r="DA44">
        <v>2062</v>
      </c>
      <c r="DB44">
        <v>1031750</v>
      </c>
      <c r="DC44">
        <v>2372</v>
      </c>
      <c r="DE44" t="s">
        <v>147</v>
      </c>
      <c r="DK44" s="5">
        <v>1730.3011036468331</v>
      </c>
      <c r="DM44" s="5">
        <v>1281.6002080443827</v>
      </c>
    </row>
    <row r="45" spans="1:117" x14ac:dyDescent="0.25">
      <c r="A45" t="s">
        <v>101</v>
      </c>
      <c r="B45" t="s">
        <v>119</v>
      </c>
      <c r="C45">
        <v>114.776781</v>
      </c>
      <c r="D45">
        <v>-28.457778999999999</v>
      </c>
      <c r="E45">
        <v>2016</v>
      </c>
      <c r="F45" t="s">
        <v>136</v>
      </c>
      <c r="G45" t="s">
        <v>141</v>
      </c>
      <c r="H45" t="s">
        <v>144</v>
      </c>
      <c r="I45">
        <v>24.5</v>
      </c>
      <c r="J45">
        <v>31.4</v>
      </c>
      <c r="K45">
        <v>785503.9</v>
      </c>
      <c r="L45">
        <v>13.54</v>
      </c>
      <c r="M45">
        <v>30.6</v>
      </c>
      <c r="N45">
        <v>253.2</v>
      </c>
      <c r="O45">
        <v>64.8</v>
      </c>
      <c r="P45">
        <v>25.8</v>
      </c>
      <c r="Q45">
        <v>0.4</v>
      </c>
      <c r="R45">
        <v>865590.7</v>
      </c>
      <c r="S45">
        <v>16.04</v>
      </c>
      <c r="T45">
        <v>27.8</v>
      </c>
      <c r="U45">
        <v>308.3</v>
      </c>
      <c r="V45">
        <v>51.6</v>
      </c>
      <c r="W45">
        <v>25</v>
      </c>
      <c r="X45">
        <v>10</v>
      </c>
      <c r="Y45">
        <v>594717.1</v>
      </c>
      <c r="Z45">
        <v>14.54</v>
      </c>
      <c r="AA45">
        <v>0</v>
      </c>
      <c r="AB45">
        <v>210.8</v>
      </c>
      <c r="AC45">
        <v>61.7</v>
      </c>
      <c r="AD45">
        <v>21</v>
      </c>
      <c r="AE45">
        <v>47.6</v>
      </c>
      <c r="AF45">
        <v>366428.4</v>
      </c>
      <c r="AG45">
        <v>9.76</v>
      </c>
      <c r="AH45">
        <v>23.7</v>
      </c>
      <c r="AI45">
        <v>107.6</v>
      </c>
      <c r="AJ45">
        <v>69.8</v>
      </c>
      <c r="AK45">
        <v>16.3</v>
      </c>
      <c r="AL45">
        <v>32.799999999999997</v>
      </c>
      <c r="AM45">
        <v>449970.2</v>
      </c>
      <c r="AN45">
        <v>9.5399999999999991</v>
      </c>
      <c r="AO45">
        <v>18.8</v>
      </c>
      <c r="AP45">
        <v>122.3</v>
      </c>
      <c r="AQ45">
        <v>71.099999999999994</v>
      </c>
      <c r="AR45">
        <v>13.4</v>
      </c>
      <c r="AS45">
        <v>84.8</v>
      </c>
      <c r="AT45">
        <v>360948</v>
      </c>
      <c r="AU45">
        <v>7.49</v>
      </c>
      <c r="AV45">
        <v>14.5</v>
      </c>
      <c r="AW45">
        <v>79.099999999999994</v>
      </c>
      <c r="AX45">
        <v>81.5</v>
      </c>
      <c r="AY45">
        <v>12.6</v>
      </c>
      <c r="AZ45">
        <v>127</v>
      </c>
      <c r="BA45">
        <v>397663.2</v>
      </c>
      <c r="BB45">
        <v>8.7100000000000009</v>
      </c>
      <c r="BC45">
        <v>13.6</v>
      </c>
      <c r="BD45">
        <v>81.8</v>
      </c>
      <c r="BE45">
        <v>81.900000000000006</v>
      </c>
      <c r="BF45">
        <v>12.1</v>
      </c>
      <c r="BG45">
        <v>65.400000000000006</v>
      </c>
      <c r="BH45">
        <v>505736.3</v>
      </c>
      <c r="BI45">
        <v>7.1</v>
      </c>
      <c r="BJ45">
        <v>15</v>
      </c>
      <c r="BK45">
        <v>106.5</v>
      </c>
      <c r="BL45">
        <v>81.8</v>
      </c>
      <c r="BM45">
        <v>12.8</v>
      </c>
      <c r="BN45">
        <v>24.2</v>
      </c>
      <c r="BO45">
        <v>665454.9</v>
      </c>
      <c r="BP45">
        <v>7.84</v>
      </c>
      <c r="BQ45">
        <v>17.899999999999999</v>
      </c>
      <c r="BR45">
        <v>150.5</v>
      </c>
      <c r="BS45">
        <v>75.099999999999994</v>
      </c>
      <c r="BT45">
        <v>17.100000000000001</v>
      </c>
      <c r="BU45">
        <v>11.2</v>
      </c>
      <c r="BV45">
        <v>839358.6</v>
      </c>
      <c r="BW45">
        <v>10.29</v>
      </c>
      <c r="BX45">
        <v>22.8</v>
      </c>
      <c r="BY45">
        <v>230.2</v>
      </c>
      <c r="BZ45">
        <v>63.2</v>
      </c>
      <c r="CA45">
        <v>21.5</v>
      </c>
      <c r="CB45">
        <v>8</v>
      </c>
      <c r="CC45">
        <v>942738.3</v>
      </c>
      <c r="CD45">
        <v>14.16</v>
      </c>
      <c r="CE45">
        <v>28.8</v>
      </c>
      <c r="CF45">
        <v>299.3</v>
      </c>
      <c r="CG45">
        <v>55</v>
      </c>
      <c r="CH45">
        <v>22.8</v>
      </c>
      <c r="CI45">
        <v>0.4</v>
      </c>
      <c r="CJ45">
        <v>1002471.6</v>
      </c>
      <c r="CK45">
        <v>16.54</v>
      </c>
      <c r="CL45">
        <v>30.9</v>
      </c>
      <c r="CM45">
        <v>324.5</v>
      </c>
      <c r="CN45">
        <v>54.8</v>
      </c>
      <c r="CP45" s="3">
        <v>133.12695639999998</v>
      </c>
      <c r="CQ45" s="3">
        <v>265.94031967119787</v>
      </c>
      <c r="CR45" s="3">
        <v>244.36784107392498</v>
      </c>
      <c r="CS45" s="3">
        <v>168.48709864302083</v>
      </c>
      <c r="CT45" s="3">
        <v>219.627445633875</v>
      </c>
      <c r="CU45" s="7">
        <v>0.06</v>
      </c>
      <c r="CV45" s="7">
        <v>0.14000000000000001</v>
      </c>
      <c r="CW45" s="7">
        <v>7.0000000000000007E-2</v>
      </c>
      <c r="CX45" s="7">
        <v>0.04</v>
      </c>
      <c r="CY45" s="3">
        <f t="shared" si="1"/>
        <v>70.747111660987827</v>
      </c>
      <c r="CZ45">
        <v>2387</v>
      </c>
      <c r="DA45">
        <v>1552</v>
      </c>
      <c r="DB45">
        <v>722700</v>
      </c>
      <c r="DC45">
        <v>2010</v>
      </c>
      <c r="DE45" t="s">
        <v>147</v>
      </c>
      <c r="DK45" s="5">
        <v>1648.7939059500959</v>
      </c>
      <c r="DM45" s="5">
        <v>964.61858529819699</v>
      </c>
    </row>
    <row r="46" spans="1:117" x14ac:dyDescent="0.25">
      <c r="A46" t="s">
        <v>101</v>
      </c>
      <c r="B46" t="s">
        <v>119</v>
      </c>
      <c r="C46">
        <v>114.776781</v>
      </c>
      <c r="D46">
        <v>-28.457778999999999</v>
      </c>
      <c r="E46">
        <v>2017</v>
      </c>
      <c r="F46" t="s">
        <v>136</v>
      </c>
      <c r="G46" t="s">
        <v>141</v>
      </c>
      <c r="H46" t="s">
        <v>144</v>
      </c>
      <c r="I46">
        <v>25.3</v>
      </c>
      <c r="J46">
        <v>42.8</v>
      </c>
      <c r="K46">
        <v>912538.7</v>
      </c>
      <c r="L46">
        <v>15.85</v>
      </c>
      <c r="M46">
        <v>32.299999999999997</v>
      </c>
      <c r="N46">
        <v>318.2</v>
      </c>
      <c r="O46">
        <v>55</v>
      </c>
      <c r="P46">
        <v>25.9</v>
      </c>
      <c r="Q46">
        <v>45.8</v>
      </c>
      <c r="R46">
        <v>747841</v>
      </c>
      <c r="S46">
        <v>13.69</v>
      </c>
      <c r="T46">
        <v>30.9</v>
      </c>
      <c r="U46">
        <v>238.6</v>
      </c>
      <c r="V46">
        <v>64.599999999999994</v>
      </c>
      <c r="W46">
        <v>23.6</v>
      </c>
      <c r="X46">
        <v>2.4</v>
      </c>
      <c r="Y46">
        <v>751634</v>
      </c>
      <c r="Z46">
        <v>11.84</v>
      </c>
      <c r="AA46">
        <v>30.7</v>
      </c>
      <c r="AB46">
        <v>243</v>
      </c>
      <c r="AC46">
        <v>60.7</v>
      </c>
      <c r="AD46">
        <v>22</v>
      </c>
      <c r="AE46">
        <v>0</v>
      </c>
      <c r="AF46">
        <v>590558.80000000005</v>
      </c>
      <c r="AG46">
        <v>11.25</v>
      </c>
      <c r="AH46">
        <v>27.5</v>
      </c>
      <c r="AI46">
        <v>209.2</v>
      </c>
      <c r="AJ46">
        <v>50.7</v>
      </c>
      <c r="AK46">
        <v>17.5</v>
      </c>
      <c r="AL46">
        <v>26</v>
      </c>
      <c r="AM46">
        <v>474438.3</v>
      </c>
      <c r="AN46">
        <v>7.63</v>
      </c>
      <c r="AO46">
        <v>21.1</v>
      </c>
      <c r="AP46">
        <v>141.6</v>
      </c>
      <c r="AQ46">
        <v>62.6</v>
      </c>
      <c r="AR46">
        <v>15.4</v>
      </c>
      <c r="AS46">
        <v>17.8</v>
      </c>
      <c r="AT46">
        <v>415773.1</v>
      </c>
      <c r="AU46">
        <v>9</v>
      </c>
      <c r="AV46">
        <v>17.399999999999999</v>
      </c>
      <c r="AW46">
        <v>132</v>
      </c>
      <c r="AX46">
        <v>58.3</v>
      </c>
      <c r="AY46">
        <v>13.3</v>
      </c>
      <c r="AZ46">
        <v>43.8</v>
      </c>
      <c r="BA46">
        <v>379909.3</v>
      </c>
      <c r="BB46">
        <v>7.41</v>
      </c>
      <c r="BC46">
        <v>15.5</v>
      </c>
      <c r="BD46">
        <v>85.7</v>
      </c>
      <c r="BE46">
        <v>81.099999999999994</v>
      </c>
      <c r="BF46">
        <v>12.9</v>
      </c>
      <c r="BG46">
        <v>99</v>
      </c>
      <c r="BH46">
        <v>498698.7</v>
      </c>
      <c r="BI46">
        <v>8.17</v>
      </c>
      <c r="BJ46">
        <v>16</v>
      </c>
      <c r="BK46">
        <v>105.5</v>
      </c>
      <c r="BL46">
        <v>83</v>
      </c>
      <c r="BM46">
        <v>15.3</v>
      </c>
      <c r="BN46">
        <v>40.799999999999997</v>
      </c>
      <c r="BO46">
        <v>596807.30000000005</v>
      </c>
      <c r="BP46">
        <v>8.2899999999999991</v>
      </c>
      <c r="BQ46">
        <v>19.2</v>
      </c>
      <c r="BR46">
        <v>137.9</v>
      </c>
      <c r="BS46">
        <v>76.099999999999994</v>
      </c>
      <c r="BT46">
        <v>18.3</v>
      </c>
      <c r="BU46">
        <v>7.4</v>
      </c>
      <c r="BV46">
        <v>808316.8</v>
      </c>
      <c r="BW46">
        <v>11.54</v>
      </c>
      <c r="BX46">
        <v>24.3</v>
      </c>
      <c r="BY46">
        <v>229</v>
      </c>
      <c r="BZ46">
        <v>62.4</v>
      </c>
      <c r="CA46">
        <v>22.6</v>
      </c>
      <c r="CB46">
        <v>16.600000000000001</v>
      </c>
      <c r="CC46">
        <v>847846.7</v>
      </c>
      <c r="CD46">
        <v>14.6</v>
      </c>
      <c r="CE46">
        <v>28.9</v>
      </c>
      <c r="CF46">
        <v>273.10000000000002</v>
      </c>
      <c r="CG46">
        <v>58.8</v>
      </c>
      <c r="CH46">
        <v>24.2</v>
      </c>
      <c r="CI46">
        <v>22.8</v>
      </c>
      <c r="CJ46">
        <v>940836</v>
      </c>
      <c r="CK46">
        <v>16.98</v>
      </c>
      <c r="CL46">
        <v>29.4</v>
      </c>
      <c r="CM46">
        <v>317.2</v>
      </c>
      <c r="CN46">
        <v>55.8</v>
      </c>
      <c r="CP46" s="3">
        <v>119.07146077499999</v>
      </c>
      <c r="CQ46" s="3">
        <v>235.14453102913441</v>
      </c>
      <c r="CR46" s="3">
        <v>211.74875985799997</v>
      </c>
      <c r="CS46" s="3">
        <v>150.26687985202918</v>
      </c>
      <c r="CT46" s="3">
        <v>166.58352970400003</v>
      </c>
      <c r="CU46" s="7">
        <v>0.06</v>
      </c>
      <c r="CV46" s="7">
        <v>0.14000000000000001</v>
      </c>
      <c r="CW46" s="7">
        <v>7.0000000000000007E-2</v>
      </c>
      <c r="CX46" s="7">
        <v>0.04</v>
      </c>
      <c r="CY46" s="3">
        <f t="shared" si="1"/>
        <v>60.935521019670105</v>
      </c>
      <c r="CZ46">
        <v>2361</v>
      </c>
      <c r="DA46">
        <v>1647</v>
      </c>
      <c r="DB46">
        <v>796380</v>
      </c>
      <c r="DC46">
        <v>2368</v>
      </c>
      <c r="DE46" t="s">
        <v>147</v>
      </c>
      <c r="DK46" s="5">
        <v>1630.8346928982726</v>
      </c>
      <c r="DM46" s="5">
        <v>1023.6641816920943</v>
      </c>
    </row>
    <row r="47" spans="1:117" x14ac:dyDescent="0.25">
      <c r="A47" t="s">
        <v>101</v>
      </c>
      <c r="B47" t="s">
        <v>119</v>
      </c>
      <c r="C47">
        <v>114.776781</v>
      </c>
      <c r="D47">
        <v>-28.457778999999999</v>
      </c>
      <c r="E47">
        <v>2018</v>
      </c>
      <c r="F47" t="s">
        <v>136</v>
      </c>
      <c r="G47" t="s">
        <v>141</v>
      </c>
      <c r="H47" t="s">
        <v>144</v>
      </c>
      <c r="I47">
        <v>25.2</v>
      </c>
      <c r="J47">
        <v>33.4</v>
      </c>
      <c r="K47">
        <v>934796.2</v>
      </c>
      <c r="L47">
        <v>19.57</v>
      </c>
      <c r="M47">
        <v>30.9</v>
      </c>
      <c r="N47">
        <v>319.10000000000002</v>
      </c>
      <c r="O47">
        <v>60.2</v>
      </c>
      <c r="P47">
        <v>24.1</v>
      </c>
      <c r="Q47">
        <v>0.4</v>
      </c>
      <c r="R47">
        <v>787133.2</v>
      </c>
      <c r="S47">
        <v>16.75</v>
      </c>
      <c r="T47">
        <v>31.4</v>
      </c>
      <c r="U47">
        <v>256.10000000000002</v>
      </c>
      <c r="V47">
        <v>63.1</v>
      </c>
      <c r="W47">
        <v>26.1</v>
      </c>
      <c r="X47">
        <v>24</v>
      </c>
      <c r="Y47">
        <v>543412</v>
      </c>
      <c r="Z47">
        <v>15.33</v>
      </c>
      <c r="AA47">
        <v>30.8</v>
      </c>
      <c r="AB47">
        <v>224.2</v>
      </c>
      <c r="AC47">
        <v>54.7</v>
      </c>
      <c r="AD47">
        <v>20.9</v>
      </c>
      <c r="AE47">
        <v>0</v>
      </c>
      <c r="AF47">
        <v>568735.30000000005</v>
      </c>
      <c r="AG47">
        <v>10.66</v>
      </c>
      <c r="AH47">
        <v>26.8</v>
      </c>
      <c r="AI47">
        <v>177.5</v>
      </c>
      <c r="AJ47">
        <v>62.5</v>
      </c>
      <c r="AK47">
        <v>18.399999999999999</v>
      </c>
      <c r="AL47">
        <v>30.4</v>
      </c>
      <c r="AM47">
        <v>471914.3</v>
      </c>
      <c r="AN47">
        <v>10.59</v>
      </c>
      <c r="AO47">
        <v>21.1</v>
      </c>
      <c r="AP47">
        <v>174.9</v>
      </c>
      <c r="AQ47">
        <v>47.6</v>
      </c>
      <c r="AR47">
        <v>14.2</v>
      </c>
      <c r="AS47">
        <v>68.599999999999994</v>
      </c>
      <c r="AT47">
        <v>360720.2</v>
      </c>
      <c r="AU47">
        <v>6.66</v>
      </c>
      <c r="AV47">
        <v>15.3</v>
      </c>
      <c r="AW47">
        <v>82.7</v>
      </c>
      <c r="AX47">
        <v>75.900000000000006</v>
      </c>
      <c r="AY47">
        <v>13.4</v>
      </c>
      <c r="AZ47">
        <v>128.80000000000001</v>
      </c>
      <c r="BA47">
        <v>356418.9</v>
      </c>
      <c r="BB47">
        <v>8.1</v>
      </c>
      <c r="BC47">
        <v>14.8</v>
      </c>
      <c r="BD47">
        <v>76.2</v>
      </c>
      <c r="BE47">
        <v>84.2</v>
      </c>
      <c r="BF47">
        <v>12.1</v>
      </c>
      <c r="BG47">
        <v>115</v>
      </c>
      <c r="BH47">
        <v>406005</v>
      </c>
      <c r="BI47">
        <v>8.23</v>
      </c>
      <c r="BJ47">
        <v>15</v>
      </c>
      <c r="BK47">
        <v>86.4</v>
      </c>
      <c r="BL47">
        <v>84.2</v>
      </c>
      <c r="BM47">
        <v>14.2</v>
      </c>
      <c r="BN47">
        <v>11.6</v>
      </c>
      <c r="BO47">
        <v>401174.7</v>
      </c>
      <c r="BP47">
        <v>7.5</v>
      </c>
      <c r="BQ47">
        <v>19.2</v>
      </c>
      <c r="BR47">
        <v>101.6</v>
      </c>
      <c r="BS47">
        <v>76.599999999999994</v>
      </c>
      <c r="BT47">
        <v>18.100000000000001</v>
      </c>
      <c r="BU47">
        <v>9</v>
      </c>
      <c r="BV47">
        <v>342184.3</v>
      </c>
      <c r="BW47">
        <v>10.4</v>
      </c>
      <c r="BX47">
        <v>24.7</v>
      </c>
      <c r="BY47">
        <v>102.9</v>
      </c>
      <c r="BZ47">
        <v>72.7</v>
      </c>
      <c r="CA47">
        <v>19.600000000000001</v>
      </c>
      <c r="CB47">
        <v>5</v>
      </c>
      <c r="CC47">
        <v>483461.9</v>
      </c>
      <c r="CD47">
        <v>14.34</v>
      </c>
      <c r="CE47">
        <v>27.8</v>
      </c>
      <c r="CF47">
        <v>159.19999999999999</v>
      </c>
      <c r="CG47">
        <v>62.1</v>
      </c>
      <c r="CH47">
        <v>22.8</v>
      </c>
      <c r="CI47">
        <v>29.2</v>
      </c>
      <c r="CJ47">
        <v>570790.5</v>
      </c>
      <c r="CK47">
        <v>16.12</v>
      </c>
      <c r="CL47">
        <v>29.7</v>
      </c>
      <c r="CM47">
        <v>223.4</v>
      </c>
      <c r="CN47">
        <v>49.2</v>
      </c>
      <c r="CP47" s="3">
        <v>149.45420497500001</v>
      </c>
      <c r="CQ47" s="3">
        <v>274.57347051901041</v>
      </c>
      <c r="CR47" s="3">
        <v>237.4236465424917</v>
      </c>
      <c r="CS47" s="3">
        <v>174.41377918435418</v>
      </c>
      <c r="CT47" s="3">
        <v>166.56083829114584</v>
      </c>
      <c r="CU47" s="7">
        <v>0.06</v>
      </c>
      <c r="CV47" s="7">
        <v>0.14000000000000001</v>
      </c>
      <c r="CW47" s="7">
        <v>7.0000000000000007E-2</v>
      </c>
      <c r="CX47" s="7">
        <v>0.04</v>
      </c>
      <c r="CY47" s="3">
        <f t="shared" si="1"/>
        <v>68.585116821640085</v>
      </c>
      <c r="CZ47">
        <v>1848</v>
      </c>
      <c r="DA47">
        <v>1507</v>
      </c>
      <c r="DB47">
        <v>721140</v>
      </c>
      <c r="DC47">
        <v>1837</v>
      </c>
      <c r="DE47" t="s">
        <v>147</v>
      </c>
      <c r="DK47" s="5">
        <v>1276.4856046065258</v>
      </c>
      <c r="DM47" s="5">
        <v>936.64961858529819</v>
      </c>
    </row>
    <row r="48" spans="1:117" x14ac:dyDescent="0.25">
      <c r="A48" t="s">
        <v>101</v>
      </c>
      <c r="B48" t="s">
        <v>119</v>
      </c>
      <c r="C48">
        <v>114.776781</v>
      </c>
      <c r="D48">
        <v>-28.457778999999999</v>
      </c>
      <c r="E48">
        <v>2019</v>
      </c>
      <c r="F48" t="s">
        <v>136</v>
      </c>
      <c r="G48" t="s">
        <v>141</v>
      </c>
      <c r="H48" t="s">
        <v>144</v>
      </c>
      <c r="I48">
        <v>24.2</v>
      </c>
      <c r="J48">
        <v>0.4</v>
      </c>
      <c r="K48">
        <v>943067.9</v>
      </c>
      <c r="L48">
        <v>16.95</v>
      </c>
      <c r="M48">
        <v>31.9</v>
      </c>
      <c r="N48">
        <v>356.7</v>
      </c>
      <c r="O48">
        <v>36.9</v>
      </c>
      <c r="P48">
        <v>24.7</v>
      </c>
      <c r="Q48">
        <v>0</v>
      </c>
      <c r="R48">
        <v>836581.5</v>
      </c>
      <c r="S48">
        <v>15.07</v>
      </c>
      <c r="T48">
        <v>32.9</v>
      </c>
      <c r="U48">
        <v>279.7</v>
      </c>
      <c r="V48">
        <v>59.9</v>
      </c>
      <c r="W48">
        <v>25</v>
      </c>
      <c r="X48">
        <v>0.2</v>
      </c>
      <c r="Y48">
        <v>656231.80000000005</v>
      </c>
      <c r="Z48">
        <v>13.2</v>
      </c>
      <c r="AA48">
        <v>28.4</v>
      </c>
      <c r="AB48">
        <v>234.5</v>
      </c>
      <c r="AC48">
        <v>56.2</v>
      </c>
      <c r="AD48">
        <v>19.899999999999999</v>
      </c>
      <c r="AE48">
        <v>7.2</v>
      </c>
      <c r="AF48">
        <v>508062.8</v>
      </c>
      <c r="AG48">
        <v>10.81</v>
      </c>
      <c r="AH48">
        <v>23.9</v>
      </c>
      <c r="AI48">
        <v>173.8</v>
      </c>
      <c r="AJ48">
        <v>54</v>
      </c>
      <c r="AK48">
        <v>17.2</v>
      </c>
      <c r="AL48">
        <v>1.6</v>
      </c>
      <c r="AM48">
        <v>481370.6</v>
      </c>
      <c r="AN48">
        <v>10</v>
      </c>
      <c r="AO48">
        <v>20.7</v>
      </c>
      <c r="AP48">
        <v>165.3</v>
      </c>
      <c r="AQ48">
        <v>51.9</v>
      </c>
      <c r="AR48">
        <v>14.3</v>
      </c>
      <c r="AS48">
        <v>175.2</v>
      </c>
      <c r="AT48">
        <v>368503.4</v>
      </c>
      <c r="AU48">
        <v>10.37</v>
      </c>
      <c r="AV48">
        <v>15.5</v>
      </c>
      <c r="AW48">
        <v>107.9</v>
      </c>
      <c r="AX48">
        <v>67.599999999999994</v>
      </c>
      <c r="AY48">
        <v>13.2</v>
      </c>
      <c r="AZ48">
        <v>52</v>
      </c>
      <c r="BA48">
        <v>459274.9</v>
      </c>
      <c r="BB48">
        <v>6.93</v>
      </c>
      <c r="BC48">
        <v>14.8</v>
      </c>
      <c r="BD48">
        <v>106.2</v>
      </c>
      <c r="BE48">
        <v>74.3</v>
      </c>
      <c r="BF48">
        <v>13.8</v>
      </c>
      <c r="BG48">
        <v>45.2</v>
      </c>
      <c r="BH48">
        <v>548744.69999999995</v>
      </c>
      <c r="BI48">
        <v>8.93</v>
      </c>
      <c r="BJ48">
        <v>16.5</v>
      </c>
      <c r="BK48">
        <v>142.30000000000001</v>
      </c>
      <c r="BL48">
        <v>68.900000000000006</v>
      </c>
      <c r="BM48">
        <v>15.8</v>
      </c>
      <c r="BN48">
        <v>11.4</v>
      </c>
      <c r="BO48">
        <v>700701.5</v>
      </c>
      <c r="BP48">
        <v>8.4600000000000009</v>
      </c>
      <c r="BQ48">
        <v>22.1</v>
      </c>
      <c r="BR48">
        <v>181.2</v>
      </c>
      <c r="BS48">
        <v>68.400000000000006</v>
      </c>
      <c r="BT48">
        <v>18.7</v>
      </c>
      <c r="BU48">
        <v>11.2</v>
      </c>
      <c r="BV48">
        <v>857358.6</v>
      </c>
      <c r="BW48">
        <v>12.63</v>
      </c>
      <c r="BX48">
        <v>26.3</v>
      </c>
      <c r="BY48">
        <v>250.5</v>
      </c>
      <c r="BZ48">
        <v>63.9</v>
      </c>
      <c r="CA48">
        <v>23.4</v>
      </c>
      <c r="CB48">
        <v>4.5999999999999996</v>
      </c>
      <c r="CC48">
        <v>929744.8</v>
      </c>
      <c r="CD48">
        <v>16.52</v>
      </c>
      <c r="CE48">
        <v>30</v>
      </c>
      <c r="CF48">
        <v>321.3</v>
      </c>
      <c r="CG48">
        <v>49.9</v>
      </c>
      <c r="CH48">
        <v>25.5</v>
      </c>
      <c r="CI48">
        <v>0.6</v>
      </c>
      <c r="CJ48">
        <v>991653.3</v>
      </c>
      <c r="CK48">
        <v>16</v>
      </c>
      <c r="CL48">
        <v>33</v>
      </c>
      <c r="CM48">
        <v>348.9</v>
      </c>
      <c r="CN48">
        <v>51.5</v>
      </c>
      <c r="CP48" s="3">
        <v>151.20769046666666</v>
      </c>
      <c r="CQ48" s="3">
        <v>267.33967790703502</v>
      </c>
      <c r="CR48" s="3">
        <v>246.94953969827165</v>
      </c>
      <c r="CS48" s="3">
        <v>186.82042264949916</v>
      </c>
      <c r="CT48" s="3">
        <v>164.67061180174997</v>
      </c>
      <c r="CU48" s="7">
        <v>0.06</v>
      </c>
      <c r="CV48" s="7">
        <v>0.14000000000000001</v>
      </c>
      <c r="CW48" s="7">
        <v>7.0000000000000007E-2</v>
      </c>
      <c r="CX48" s="7">
        <v>0.04</v>
      </c>
      <c r="CY48" s="3">
        <f t="shared" si="1"/>
        <v>70.277570289715072</v>
      </c>
      <c r="CZ48">
        <v>3132</v>
      </c>
      <c r="DA48">
        <v>1716</v>
      </c>
      <c r="DB48">
        <v>1037670</v>
      </c>
      <c r="DC48">
        <v>2915</v>
      </c>
      <c r="DE48" t="s">
        <v>147</v>
      </c>
      <c r="DK48" s="5">
        <v>2163.3944337811899</v>
      </c>
      <c r="DM48" s="5">
        <v>1066.5499306518725</v>
      </c>
    </row>
    <row r="49" spans="1:117" x14ac:dyDescent="0.25">
      <c r="A49" t="s">
        <v>101</v>
      </c>
      <c r="B49" t="s">
        <v>119</v>
      </c>
      <c r="C49">
        <v>114.776781</v>
      </c>
      <c r="D49">
        <v>-28.457778999999999</v>
      </c>
      <c r="E49">
        <v>2020</v>
      </c>
      <c r="F49" t="s">
        <v>136</v>
      </c>
      <c r="G49" t="s">
        <v>141</v>
      </c>
      <c r="H49" t="s">
        <v>144</v>
      </c>
      <c r="I49">
        <v>24.8</v>
      </c>
      <c r="J49">
        <v>0.2</v>
      </c>
      <c r="K49">
        <v>989655.3</v>
      </c>
      <c r="L49">
        <v>19.100000000000001</v>
      </c>
      <c r="M49">
        <v>32.6</v>
      </c>
      <c r="N49">
        <v>351.4</v>
      </c>
      <c r="O49">
        <v>53.4</v>
      </c>
      <c r="P49">
        <v>25.9</v>
      </c>
      <c r="Q49">
        <v>41</v>
      </c>
      <c r="R49">
        <v>725168.2</v>
      </c>
      <c r="S49">
        <v>15.17</v>
      </c>
      <c r="T49">
        <v>31.7</v>
      </c>
      <c r="U49">
        <v>251.4</v>
      </c>
      <c r="V49">
        <v>60.7</v>
      </c>
      <c r="W49">
        <v>24.8</v>
      </c>
      <c r="X49">
        <v>3.2</v>
      </c>
      <c r="Y49">
        <v>703390.5</v>
      </c>
      <c r="Z49">
        <v>13.15</v>
      </c>
      <c r="AA49">
        <v>30</v>
      </c>
      <c r="AB49">
        <v>245.6</v>
      </c>
      <c r="AC49">
        <v>55.5</v>
      </c>
      <c r="AD49">
        <v>21.4</v>
      </c>
      <c r="AE49">
        <v>1.4</v>
      </c>
      <c r="AF49">
        <v>547838.4</v>
      </c>
      <c r="AG49">
        <v>10.95</v>
      </c>
      <c r="AH49">
        <v>26.6</v>
      </c>
      <c r="AI49">
        <v>181.2</v>
      </c>
      <c r="AJ49">
        <v>59.7</v>
      </c>
      <c r="AK49">
        <v>17.899999999999999</v>
      </c>
      <c r="AL49">
        <v>12</v>
      </c>
      <c r="AM49">
        <v>355026.4</v>
      </c>
      <c r="AN49">
        <v>11.23</v>
      </c>
      <c r="AO49">
        <v>20.5</v>
      </c>
      <c r="AP49">
        <v>136.1</v>
      </c>
      <c r="AQ49">
        <v>49.4</v>
      </c>
      <c r="AR49">
        <v>15.7</v>
      </c>
      <c r="AS49">
        <v>55.4</v>
      </c>
      <c r="AT49">
        <v>341762.9</v>
      </c>
      <c r="AU49">
        <v>8.92</v>
      </c>
      <c r="AV49">
        <v>16.2</v>
      </c>
      <c r="AW49">
        <v>90.3</v>
      </c>
      <c r="AX49">
        <v>66.7</v>
      </c>
      <c r="AY49">
        <v>13.4</v>
      </c>
      <c r="AZ49">
        <v>41.4</v>
      </c>
      <c r="BA49">
        <v>449984.1</v>
      </c>
      <c r="BB49">
        <v>6.58</v>
      </c>
      <c r="BC49">
        <v>15.1</v>
      </c>
      <c r="BD49">
        <v>15.8</v>
      </c>
      <c r="BE49">
        <v>12.7</v>
      </c>
      <c r="BF49">
        <v>13.4</v>
      </c>
      <c r="BG49">
        <v>100.8</v>
      </c>
      <c r="BH49">
        <v>493693.2</v>
      </c>
      <c r="BI49">
        <v>7.41</v>
      </c>
      <c r="BJ49">
        <v>15.8</v>
      </c>
      <c r="BK49">
        <v>104.2</v>
      </c>
      <c r="BL49">
        <v>80.5</v>
      </c>
      <c r="BM49">
        <v>15.4</v>
      </c>
      <c r="BN49">
        <v>22.8</v>
      </c>
      <c r="BO49">
        <v>652024.6</v>
      </c>
      <c r="BP49">
        <v>7.76</v>
      </c>
      <c r="BQ49">
        <v>19.8</v>
      </c>
      <c r="BR49">
        <v>160.19999999999999</v>
      </c>
      <c r="BS49">
        <v>72.400000000000006</v>
      </c>
      <c r="BT49">
        <v>18.899999999999999</v>
      </c>
      <c r="BU49">
        <v>3.4</v>
      </c>
      <c r="BV49">
        <v>830680.2</v>
      </c>
      <c r="BW49">
        <v>11.17</v>
      </c>
      <c r="BX49">
        <v>25.3</v>
      </c>
      <c r="BY49">
        <v>241.3</v>
      </c>
      <c r="BZ49">
        <v>62.7</v>
      </c>
      <c r="CA49">
        <v>20.2</v>
      </c>
      <c r="CB49">
        <v>26.8</v>
      </c>
      <c r="CC49">
        <v>866155.6</v>
      </c>
      <c r="CD49">
        <v>13.5</v>
      </c>
      <c r="CE49">
        <v>27.6</v>
      </c>
      <c r="CF49">
        <v>250.6</v>
      </c>
      <c r="CG49">
        <v>62.8</v>
      </c>
      <c r="CH49">
        <v>24.7</v>
      </c>
      <c r="CI49">
        <v>0.2</v>
      </c>
      <c r="CJ49">
        <v>1027852.2</v>
      </c>
      <c r="CK49">
        <v>15.5</v>
      </c>
      <c r="CL49">
        <v>33</v>
      </c>
      <c r="CM49">
        <v>349.3</v>
      </c>
      <c r="CN49">
        <v>52.1</v>
      </c>
      <c r="CP49" s="3">
        <v>137.12151142499999</v>
      </c>
      <c r="CQ49" s="3">
        <v>183.94377395835087</v>
      </c>
      <c r="CR49" s="3">
        <v>171.50265380089249</v>
      </c>
      <c r="CS49" s="3">
        <v>153.47587761539251</v>
      </c>
      <c r="CT49" s="3">
        <v>168.62831412656331</v>
      </c>
      <c r="CU49" s="7">
        <v>0.06</v>
      </c>
      <c r="CV49" s="7">
        <v>0.14000000000000001</v>
      </c>
      <c r="CW49" s="7">
        <v>7.0000000000000007E-2</v>
      </c>
      <c r="CX49" s="7">
        <v>0.04</v>
      </c>
      <c r="CY49" s="3">
        <f t="shared" si="1"/>
        <v>52.535441967766019</v>
      </c>
      <c r="CZ49">
        <v>1591</v>
      </c>
      <c r="DA49">
        <v>1677</v>
      </c>
      <c r="DB49">
        <v>864980</v>
      </c>
      <c r="DC49">
        <v>1861</v>
      </c>
      <c r="DE49" t="s">
        <v>147</v>
      </c>
      <c r="DK49" s="5">
        <v>1098.9656909788866</v>
      </c>
      <c r="DM49" s="5">
        <v>1042.3101595006935</v>
      </c>
    </row>
    <row r="50" spans="1:117" x14ac:dyDescent="0.25">
      <c r="A50" t="s">
        <v>102</v>
      </c>
      <c r="B50" t="s">
        <v>120</v>
      </c>
      <c r="C50">
        <v>115.603514</v>
      </c>
      <c r="D50">
        <v>-31.331817000000001</v>
      </c>
      <c r="E50">
        <v>2013</v>
      </c>
      <c r="F50" t="s">
        <v>137</v>
      </c>
      <c r="G50" t="s">
        <v>140</v>
      </c>
      <c r="H50" t="s">
        <v>143</v>
      </c>
      <c r="I50">
        <v>23.7</v>
      </c>
      <c r="J50">
        <v>17</v>
      </c>
      <c r="K50">
        <v>861391.2</v>
      </c>
      <c r="L50">
        <v>17.57</v>
      </c>
      <c r="M50">
        <v>31.8</v>
      </c>
      <c r="N50">
        <v>282.10000000000002</v>
      </c>
      <c r="O50">
        <v>59.4</v>
      </c>
      <c r="P50">
        <v>24.9</v>
      </c>
      <c r="Q50">
        <v>0.6</v>
      </c>
      <c r="R50">
        <v>709560.5</v>
      </c>
      <c r="S50">
        <v>15.98</v>
      </c>
      <c r="T50">
        <v>32.799999999999997</v>
      </c>
      <c r="U50">
        <v>250.6</v>
      </c>
      <c r="V50">
        <v>53.1</v>
      </c>
      <c r="W50">
        <v>20.5</v>
      </c>
      <c r="X50">
        <v>58.4</v>
      </c>
      <c r="Y50">
        <v>612144.1</v>
      </c>
      <c r="Z50">
        <v>14.02</v>
      </c>
      <c r="AA50">
        <v>25.7</v>
      </c>
      <c r="AB50">
        <v>184</v>
      </c>
      <c r="AC50">
        <v>66.599999999999994</v>
      </c>
      <c r="AD50">
        <v>20.8</v>
      </c>
      <c r="AE50">
        <v>15.4</v>
      </c>
      <c r="AF50">
        <v>407587.5</v>
      </c>
      <c r="AG50">
        <v>10.01</v>
      </c>
      <c r="AH50">
        <v>22.8</v>
      </c>
      <c r="AI50">
        <v>121.7</v>
      </c>
      <c r="AJ50">
        <v>69.8</v>
      </c>
      <c r="AK50">
        <v>15.4</v>
      </c>
      <c r="AL50">
        <v>80.400000000000006</v>
      </c>
      <c r="AM50">
        <v>334790.59999999998</v>
      </c>
      <c r="AN50">
        <v>11.46</v>
      </c>
      <c r="AO50">
        <v>15.9</v>
      </c>
      <c r="AP50">
        <v>87.2</v>
      </c>
      <c r="AQ50">
        <v>73.8</v>
      </c>
      <c r="AR50">
        <v>13.1</v>
      </c>
      <c r="AS50">
        <v>35</v>
      </c>
      <c r="AT50">
        <v>327311.5</v>
      </c>
      <c r="AU50">
        <v>10.26</v>
      </c>
      <c r="AV50">
        <v>12.8</v>
      </c>
      <c r="AW50">
        <v>77.900000000000006</v>
      </c>
      <c r="AX50">
        <v>74.3</v>
      </c>
      <c r="AY50">
        <v>12.1</v>
      </c>
      <c r="AZ50">
        <v>125.8</v>
      </c>
      <c r="BA50">
        <v>315918.3</v>
      </c>
      <c r="BB50">
        <v>9.49</v>
      </c>
      <c r="BC50">
        <v>11.7</v>
      </c>
      <c r="BD50">
        <v>74.8</v>
      </c>
      <c r="BE50">
        <v>73.3</v>
      </c>
      <c r="BF50">
        <v>14.6</v>
      </c>
      <c r="BG50">
        <v>172.6</v>
      </c>
      <c r="BH50">
        <v>375837.4</v>
      </c>
      <c r="BI50">
        <v>12.35</v>
      </c>
      <c r="BJ50">
        <v>14.9</v>
      </c>
      <c r="BK50">
        <v>90.7</v>
      </c>
      <c r="BL50">
        <v>77.099999999999994</v>
      </c>
      <c r="BM50">
        <v>14.8</v>
      </c>
      <c r="BN50">
        <v>153.4</v>
      </c>
      <c r="BO50">
        <v>460940</v>
      </c>
      <c r="BP50">
        <v>15.11</v>
      </c>
      <c r="BQ50">
        <v>16.399999999999999</v>
      </c>
      <c r="BR50">
        <v>115.1</v>
      </c>
      <c r="BS50">
        <v>74.900000000000006</v>
      </c>
      <c r="BT50">
        <v>17</v>
      </c>
      <c r="BU50">
        <v>31.2</v>
      </c>
      <c r="BV50">
        <v>744064.7</v>
      </c>
      <c r="BW50">
        <v>11.85</v>
      </c>
      <c r="BX50">
        <v>21.6</v>
      </c>
      <c r="BY50">
        <v>188.9</v>
      </c>
      <c r="BZ50">
        <v>71.900000000000006</v>
      </c>
      <c r="CA50">
        <v>21.2</v>
      </c>
      <c r="CB50">
        <v>2.4</v>
      </c>
      <c r="CC50">
        <v>853528.8</v>
      </c>
      <c r="CD50">
        <v>14.56</v>
      </c>
      <c r="CE50">
        <v>27.8</v>
      </c>
      <c r="CF50">
        <v>251.7</v>
      </c>
      <c r="CG50">
        <v>62</v>
      </c>
      <c r="CH50">
        <v>22.1</v>
      </c>
      <c r="CI50">
        <v>2.6</v>
      </c>
      <c r="CJ50">
        <v>966655.3</v>
      </c>
      <c r="CK50">
        <v>14.3</v>
      </c>
      <c r="CL50">
        <v>30</v>
      </c>
      <c r="CM50">
        <v>286.89999999999998</v>
      </c>
      <c r="CN50">
        <v>61.5</v>
      </c>
      <c r="CP50" s="3">
        <v>344.25478384166667</v>
      </c>
      <c r="CQ50" s="3">
        <v>485.1324771412531</v>
      </c>
      <c r="CR50" s="3">
        <v>453.99912920229173</v>
      </c>
      <c r="CS50" s="3">
        <v>379.15555696741984</v>
      </c>
      <c r="CT50" s="3">
        <v>431.36433691804177</v>
      </c>
      <c r="CU50" s="7">
        <v>0.06</v>
      </c>
      <c r="CV50" s="7">
        <v>0.14000000000000001</v>
      </c>
      <c r="CW50" s="7">
        <v>7.0000000000000007E-2</v>
      </c>
      <c r="CX50" s="7">
        <v>0.04</v>
      </c>
      <c r="CY50" s="3">
        <f t="shared" si="1"/>
        <v>136.46328918123712</v>
      </c>
      <c r="CZ50">
        <v>38</v>
      </c>
      <c r="DA50">
        <v>12</v>
      </c>
      <c r="DB50">
        <v>16870</v>
      </c>
      <c r="DC50">
        <v>37</v>
      </c>
      <c r="DE50" t="s">
        <v>147</v>
      </c>
      <c r="DK50" s="5">
        <v>2002.7900000000002</v>
      </c>
      <c r="DM50" s="5">
        <v>522.91499999999996</v>
      </c>
    </row>
    <row r="51" spans="1:117" x14ac:dyDescent="0.25">
      <c r="A51" t="s">
        <v>102</v>
      </c>
      <c r="B51" t="s">
        <v>120</v>
      </c>
      <c r="C51">
        <v>115.603514</v>
      </c>
      <c r="D51">
        <v>-31.331817000000001</v>
      </c>
      <c r="E51">
        <v>2014</v>
      </c>
      <c r="F51" t="s">
        <v>137</v>
      </c>
      <c r="G51" t="s">
        <v>140</v>
      </c>
      <c r="H51" t="s">
        <v>143</v>
      </c>
      <c r="I51">
        <v>24</v>
      </c>
      <c r="J51">
        <v>2.8</v>
      </c>
      <c r="K51">
        <v>967453.7</v>
      </c>
      <c r="L51">
        <v>16.03</v>
      </c>
      <c r="M51">
        <v>32.1</v>
      </c>
      <c r="N51">
        <v>303.10000000000002</v>
      </c>
      <c r="O51">
        <v>60.9</v>
      </c>
      <c r="P51">
        <v>24.6</v>
      </c>
      <c r="Q51">
        <v>0</v>
      </c>
      <c r="R51">
        <v>822936.7</v>
      </c>
      <c r="S51">
        <v>16.03</v>
      </c>
      <c r="T51">
        <v>31.7</v>
      </c>
      <c r="U51">
        <v>269.39999999999998</v>
      </c>
      <c r="V51">
        <v>55.9</v>
      </c>
      <c r="W51">
        <v>22.7</v>
      </c>
      <c r="X51">
        <v>8.4</v>
      </c>
      <c r="Y51">
        <v>687342.1</v>
      </c>
      <c r="Z51">
        <v>13.24</v>
      </c>
      <c r="AA51">
        <v>28.3</v>
      </c>
      <c r="AB51">
        <v>226.4</v>
      </c>
      <c r="AC51">
        <v>63.3</v>
      </c>
      <c r="AD51">
        <v>19.5</v>
      </c>
      <c r="AE51">
        <v>23.2</v>
      </c>
      <c r="AF51">
        <v>507364.5</v>
      </c>
      <c r="AG51">
        <v>10.08</v>
      </c>
      <c r="AH51">
        <v>22.2</v>
      </c>
      <c r="AI51">
        <v>144.30000000000001</v>
      </c>
      <c r="AJ51">
        <v>68.400000000000006</v>
      </c>
      <c r="AK51">
        <v>16.399999999999999</v>
      </c>
      <c r="AL51">
        <v>112.4</v>
      </c>
      <c r="AM51">
        <v>322354</v>
      </c>
      <c r="AN51">
        <v>9.76</v>
      </c>
      <c r="AO51">
        <v>17.100000000000001</v>
      </c>
      <c r="AP51">
        <v>76.3</v>
      </c>
      <c r="AQ51">
        <v>81.599999999999994</v>
      </c>
      <c r="AR51">
        <v>13.3</v>
      </c>
      <c r="AS51">
        <v>129.80000000000001</v>
      </c>
      <c r="AT51">
        <v>311068.2</v>
      </c>
      <c r="AU51">
        <v>9.91</v>
      </c>
      <c r="AV51">
        <v>12.9</v>
      </c>
      <c r="AW51">
        <v>75.099999999999994</v>
      </c>
      <c r="AX51">
        <v>75.099999999999994</v>
      </c>
      <c r="AY51">
        <v>13.5</v>
      </c>
      <c r="AZ51">
        <v>147</v>
      </c>
      <c r="BA51">
        <v>321225.7</v>
      </c>
      <c r="BB51">
        <v>11.21</v>
      </c>
      <c r="BC51">
        <v>12.9</v>
      </c>
      <c r="BD51">
        <v>74</v>
      </c>
      <c r="BE51">
        <v>78</v>
      </c>
      <c r="BF51">
        <v>15.6</v>
      </c>
      <c r="BG51">
        <v>53.2</v>
      </c>
      <c r="BH51">
        <v>445519.6</v>
      </c>
      <c r="BI51">
        <v>10.6</v>
      </c>
      <c r="BJ51">
        <v>15.7</v>
      </c>
      <c r="BK51">
        <v>113.6</v>
      </c>
      <c r="BL51">
        <v>73.400000000000006</v>
      </c>
      <c r="BM51">
        <v>15.9</v>
      </c>
      <c r="BN51">
        <v>88.6</v>
      </c>
      <c r="BO51">
        <v>532654.30000000005</v>
      </c>
      <c r="BP51">
        <v>11.4</v>
      </c>
      <c r="BQ51">
        <v>17.5</v>
      </c>
      <c r="BR51">
        <v>123.2</v>
      </c>
      <c r="BS51">
        <v>77.2</v>
      </c>
      <c r="BT51">
        <v>17.5</v>
      </c>
      <c r="BU51">
        <v>39.6</v>
      </c>
      <c r="BV51">
        <v>714580.4</v>
      </c>
      <c r="BW51">
        <v>11.02</v>
      </c>
      <c r="BX51">
        <v>21.2</v>
      </c>
      <c r="BY51">
        <v>175.5</v>
      </c>
      <c r="BZ51">
        <v>73.2</v>
      </c>
      <c r="CA51">
        <v>18.2</v>
      </c>
      <c r="CB51">
        <v>6.2</v>
      </c>
      <c r="CC51">
        <v>608193.1</v>
      </c>
      <c r="CD51">
        <v>11.8</v>
      </c>
      <c r="CE51">
        <v>25.4</v>
      </c>
      <c r="CF51">
        <v>156.6</v>
      </c>
      <c r="CG51">
        <v>70.099999999999994</v>
      </c>
      <c r="CH51">
        <v>20.9</v>
      </c>
      <c r="CI51">
        <v>0.4</v>
      </c>
      <c r="CJ51">
        <v>959946.2</v>
      </c>
      <c r="CK51">
        <v>15.55</v>
      </c>
      <c r="CL51">
        <v>29.5</v>
      </c>
      <c r="CM51">
        <v>277.2</v>
      </c>
      <c r="CN51">
        <v>63.8</v>
      </c>
      <c r="CP51" s="3">
        <v>283.32452813333333</v>
      </c>
      <c r="CQ51" s="3">
        <v>368.2939243092531</v>
      </c>
      <c r="CR51" s="3">
        <v>330.59328943508331</v>
      </c>
      <c r="CS51" s="3">
        <v>279.4513129062604</v>
      </c>
      <c r="CT51" s="3">
        <v>325.40383910199995</v>
      </c>
      <c r="CU51" s="7">
        <v>0.06</v>
      </c>
      <c r="CV51" s="7">
        <v>0.14000000000000001</v>
      </c>
      <c r="CW51" s="7">
        <v>7.0000000000000007E-2</v>
      </c>
      <c r="CX51" s="7">
        <v>0.04</v>
      </c>
      <c r="CY51" s="3">
        <f t="shared" si="1"/>
        <v>100.95844144698508</v>
      </c>
      <c r="CZ51">
        <v>34</v>
      </c>
      <c r="DA51">
        <v>9</v>
      </c>
      <c r="DB51">
        <v>13130</v>
      </c>
      <c r="DC51">
        <v>32</v>
      </c>
      <c r="DE51" t="s">
        <v>147</v>
      </c>
      <c r="DK51" s="5">
        <v>1791.9700000000003</v>
      </c>
      <c r="DM51" s="5">
        <v>392.18625000000003</v>
      </c>
    </row>
    <row r="52" spans="1:117" x14ac:dyDescent="0.25">
      <c r="A52" t="s">
        <v>102</v>
      </c>
      <c r="B52" t="s">
        <v>120</v>
      </c>
      <c r="C52">
        <v>115.603514</v>
      </c>
      <c r="D52">
        <v>-31.331817000000001</v>
      </c>
      <c r="E52">
        <v>2015</v>
      </c>
      <c r="F52" t="s">
        <v>137</v>
      </c>
      <c r="G52" t="s">
        <v>140</v>
      </c>
      <c r="H52" t="s">
        <v>143</v>
      </c>
      <c r="I52">
        <v>24</v>
      </c>
      <c r="J52">
        <v>2.2000000000000002</v>
      </c>
      <c r="K52">
        <v>932163</v>
      </c>
      <c r="L52">
        <v>14.18</v>
      </c>
      <c r="M52">
        <v>33.799999999999997</v>
      </c>
      <c r="N52">
        <v>296.60000000000002</v>
      </c>
      <c r="O52">
        <v>58.6</v>
      </c>
      <c r="P52">
        <v>23.7</v>
      </c>
      <c r="Q52">
        <v>39</v>
      </c>
      <c r="R52">
        <v>708496.9</v>
      </c>
      <c r="S52">
        <v>13.02</v>
      </c>
      <c r="T52">
        <v>29.7</v>
      </c>
      <c r="U52">
        <v>208.9</v>
      </c>
      <c r="V52">
        <v>68.2</v>
      </c>
      <c r="W52">
        <v>21.8</v>
      </c>
      <c r="X52">
        <v>33</v>
      </c>
      <c r="Y52">
        <v>662933.69999999995</v>
      </c>
      <c r="Z52">
        <v>12</v>
      </c>
      <c r="AA52">
        <v>25.9</v>
      </c>
      <c r="AB52">
        <v>204.4</v>
      </c>
      <c r="AC52">
        <v>66</v>
      </c>
      <c r="AD52">
        <v>19.3</v>
      </c>
      <c r="AE52">
        <v>33.200000000000003</v>
      </c>
      <c r="AF52">
        <v>479900.7</v>
      </c>
      <c r="AG52">
        <v>11.83</v>
      </c>
      <c r="AH52">
        <v>21.1</v>
      </c>
      <c r="AI52">
        <v>152.4</v>
      </c>
      <c r="AJ52">
        <v>63.1</v>
      </c>
      <c r="AK52">
        <v>15.3</v>
      </c>
      <c r="AL52">
        <v>65</v>
      </c>
      <c r="AM52">
        <v>431217</v>
      </c>
      <c r="AN52">
        <v>10.99</v>
      </c>
      <c r="AO52">
        <v>15.8</v>
      </c>
      <c r="AP52">
        <v>117.1</v>
      </c>
      <c r="AQ52">
        <v>68.3</v>
      </c>
      <c r="AR52">
        <v>14.9</v>
      </c>
      <c r="AS52">
        <v>93.8</v>
      </c>
      <c r="AT52">
        <v>336033.4</v>
      </c>
      <c r="AU52">
        <v>10.35</v>
      </c>
      <c r="AV52">
        <v>13.8</v>
      </c>
      <c r="AW52">
        <v>87.3</v>
      </c>
      <c r="AX52">
        <v>74</v>
      </c>
      <c r="AY52">
        <v>13.3</v>
      </c>
      <c r="AZ52">
        <v>172.6</v>
      </c>
      <c r="BA52">
        <v>311695.8</v>
      </c>
      <c r="BB52">
        <v>9.41</v>
      </c>
      <c r="BC52">
        <v>13.1</v>
      </c>
      <c r="BD52">
        <v>69.2</v>
      </c>
      <c r="BE52">
        <v>78.7</v>
      </c>
      <c r="BF52">
        <v>13.7</v>
      </c>
      <c r="BG52">
        <v>80.400000000000006</v>
      </c>
      <c r="BH52">
        <v>432689.1</v>
      </c>
      <c r="BI52">
        <v>10.55</v>
      </c>
      <c r="BJ52">
        <v>14.3</v>
      </c>
      <c r="BK52">
        <v>98.4</v>
      </c>
      <c r="BL52">
        <v>76.400000000000006</v>
      </c>
      <c r="BM52">
        <v>15.4</v>
      </c>
      <c r="BN52">
        <v>35.4</v>
      </c>
      <c r="BO52">
        <v>626536.9</v>
      </c>
      <c r="BP52">
        <v>11.1</v>
      </c>
      <c r="BQ52">
        <v>17.600000000000001</v>
      </c>
      <c r="BR52">
        <v>163.30000000000001</v>
      </c>
      <c r="BS52">
        <v>65.8</v>
      </c>
      <c r="BT52">
        <v>18.8</v>
      </c>
      <c r="BU52">
        <v>9</v>
      </c>
      <c r="BV52">
        <v>678610.7</v>
      </c>
      <c r="BW52">
        <v>10.199999999999999</v>
      </c>
      <c r="BX52">
        <v>23.5</v>
      </c>
      <c r="BY52">
        <v>178.5</v>
      </c>
      <c r="BZ52">
        <v>69.599999999999994</v>
      </c>
      <c r="CA52">
        <v>20.9</v>
      </c>
      <c r="CB52">
        <v>18</v>
      </c>
      <c r="CC52">
        <v>857094.5</v>
      </c>
      <c r="CD52">
        <v>13.02</v>
      </c>
      <c r="CE52">
        <v>27.1</v>
      </c>
      <c r="CF52">
        <v>244.6</v>
      </c>
      <c r="CG52">
        <v>65.599999999999994</v>
      </c>
      <c r="CH52">
        <v>21.6</v>
      </c>
      <c r="CI52">
        <v>21</v>
      </c>
      <c r="CJ52">
        <v>942814.3</v>
      </c>
      <c r="CK52">
        <v>15.44</v>
      </c>
      <c r="CL52">
        <v>28</v>
      </c>
      <c r="CM52">
        <v>282</v>
      </c>
      <c r="CN52">
        <v>60.1</v>
      </c>
      <c r="CP52" s="3">
        <v>204.8839893083333</v>
      </c>
      <c r="CQ52" s="3">
        <v>357.71587473362189</v>
      </c>
      <c r="CR52" s="3">
        <v>322.98543302087501</v>
      </c>
      <c r="CS52" s="3">
        <v>251.33925340010413</v>
      </c>
      <c r="CT52" s="3">
        <v>238.07175714163543</v>
      </c>
      <c r="CU52" s="7">
        <v>0.06</v>
      </c>
      <c r="CV52" s="7">
        <v>0.14000000000000001</v>
      </c>
      <c r="CW52" s="7">
        <v>7.0000000000000007E-2</v>
      </c>
      <c r="CX52" s="7">
        <v>0.04</v>
      </c>
      <c r="CY52" s="3">
        <f t="shared" si="1"/>
        <v>93.797531130612526</v>
      </c>
      <c r="CZ52">
        <v>52</v>
      </c>
      <c r="DA52">
        <v>18</v>
      </c>
      <c r="DB52">
        <v>17470</v>
      </c>
      <c r="DC52">
        <v>45</v>
      </c>
      <c r="DE52" t="s">
        <v>147</v>
      </c>
      <c r="DK52" s="5">
        <v>2740.6600000000003</v>
      </c>
      <c r="DM52" s="5">
        <v>784.37250000000006</v>
      </c>
    </row>
    <row r="53" spans="1:117" x14ac:dyDescent="0.25">
      <c r="A53" t="s">
        <v>102</v>
      </c>
      <c r="B53" t="s">
        <v>120</v>
      </c>
      <c r="C53">
        <v>115.603514</v>
      </c>
      <c r="D53">
        <v>-31.331817000000001</v>
      </c>
      <c r="E53">
        <v>2016</v>
      </c>
      <c r="F53" t="s">
        <v>137</v>
      </c>
      <c r="G53" t="s">
        <v>140</v>
      </c>
      <c r="H53" t="s">
        <v>143</v>
      </c>
      <c r="I53">
        <v>24.4</v>
      </c>
      <c r="J53">
        <v>27.4</v>
      </c>
      <c r="K53">
        <v>814100.4</v>
      </c>
      <c r="L53">
        <v>13.15</v>
      </c>
      <c r="M53">
        <v>30.8</v>
      </c>
      <c r="N53">
        <v>265.10000000000002</v>
      </c>
      <c r="O53">
        <v>60.5</v>
      </c>
      <c r="P53">
        <v>23.9</v>
      </c>
      <c r="Q53">
        <v>3</v>
      </c>
      <c r="R53">
        <v>831527.9</v>
      </c>
      <c r="S53">
        <v>13.92</v>
      </c>
      <c r="T53">
        <v>29.5</v>
      </c>
      <c r="U53">
        <v>265.10000000000002</v>
      </c>
      <c r="V53">
        <v>56.3</v>
      </c>
      <c r="W53">
        <v>22.7</v>
      </c>
      <c r="X53">
        <v>85</v>
      </c>
      <c r="Y53">
        <v>662897</v>
      </c>
      <c r="Z53">
        <v>12.62</v>
      </c>
      <c r="AA53">
        <v>27</v>
      </c>
      <c r="AB53">
        <v>205.3</v>
      </c>
      <c r="AC53">
        <v>66.599999999999994</v>
      </c>
      <c r="AD53">
        <v>19.3</v>
      </c>
      <c r="AE53">
        <v>71.400000000000006</v>
      </c>
      <c r="AF53">
        <v>419721.4</v>
      </c>
      <c r="AG53">
        <v>10.07</v>
      </c>
      <c r="AH53">
        <v>20.9</v>
      </c>
      <c r="AI53">
        <v>117.9</v>
      </c>
      <c r="AJ53">
        <v>74.3</v>
      </c>
      <c r="AK53">
        <v>15.1</v>
      </c>
      <c r="AL53">
        <v>69.8</v>
      </c>
      <c r="AM53">
        <v>393994.2</v>
      </c>
      <c r="AN53">
        <v>8.77</v>
      </c>
      <c r="AO53">
        <v>15.4</v>
      </c>
      <c r="AP53">
        <v>89.2</v>
      </c>
      <c r="AQ53">
        <v>77.900000000000006</v>
      </c>
      <c r="AR53">
        <v>13.3</v>
      </c>
      <c r="AS53">
        <v>132</v>
      </c>
      <c r="AT53">
        <v>308425</v>
      </c>
      <c r="AU53">
        <v>9.01</v>
      </c>
      <c r="AV53">
        <v>12.7</v>
      </c>
      <c r="AW53">
        <v>64.7</v>
      </c>
      <c r="AX53">
        <v>79.099999999999994</v>
      </c>
      <c r="AY53">
        <v>12.3</v>
      </c>
      <c r="AZ53">
        <v>132.80000000000001</v>
      </c>
      <c r="BA53">
        <v>343064.9</v>
      </c>
      <c r="BB53">
        <v>10.88</v>
      </c>
      <c r="BC53">
        <v>11.7</v>
      </c>
      <c r="BD53">
        <v>77.8</v>
      </c>
      <c r="BE53">
        <v>76.2</v>
      </c>
      <c r="BF53">
        <v>12.4</v>
      </c>
      <c r="BG53">
        <v>166.8</v>
      </c>
      <c r="BH53">
        <v>397661.4</v>
      </c>
      <c r="BI53">
        <v>10.93</v>
      </c>
      <c r="BJ53">
        <v>12.7</v>
      </c>
      <c r="BK53">
        <v>86.5</v>
      </c>
      <c r="BL53">
        <v>77.2</v>
      </c>
      <c r="BM53">
        <v>12.6</v>
      </c>
      <c r="BN53">
        <v>84.6</v>
      </c>
      <c r="BO53">
        <v>550149.19999999995</v>
      </c>
      <c r="BP53">
        <v>10.72</v>
      </c>
      <c r="BQ53">
        <v>14.5</v>
      </c>
      <c r="BR53">
        <v>122.7</v>
      </c>
      <c r="BS53">
        <v>74.599999999999994</v>
      </c>
      <c r="BT53">
        <v>15.7</v>
      </c>
      <c r="BU53">
        <v>47</v>
      </c>
      <c r="BV53">
        <v>764246.4</v>
      </c>
      <c r="BW53">
        <v>12.84</v>
      </c>
      <c r="BX53">
        <v>19.899999999999999</v>
      </c>
      <c r="BY53">
        <v>191.4</v>
      </c>
      <c r="BZ53">
        <v>68.8</v>
      </c>
      <c r="CA53">
        <v>19.7</v>
      </c>
      <c r="CB53">
        <v>12.2</v>
      </c>
      <c r="CC53">
        <v>913941.9</v>
      </c>
      <c r="CD53">
        <v>13.7</v>
      </c>
      <c r="CE53">
        <v>25.7</v>
      </c>
      <c r="CF53">
        <v>256.7</v>
      </c>
      <c r="CG53">
        <v>62.6</v>
      </c>
      <c r="CH53">
        <v>20.8</v>
      </c>
      <c r="CI53">
        <v>4.4000000000000004</v>
      </c>
      <c r="CJ53">
        <v>996853.8</v>
      </c>
      <c r="CK53">
        <v>15.3</v>
      </c>
      <c r="CL53">
        <v>29</v>
      </c>
      <c r="CM53">
        <v>288</v>
      </c>
      <c r="CN53">
        <v>63</v>
      </c>
      <c r="CP53" s="3">
        <v>133.12695639999998</v>
      </c>
      <c r="CQ53" s="3">
        <v>265.94031967119787</v>
      </c>
      <c r="CR53" s="3">
        <v>244.36784107392498</v>
      </c>
      <c r="CS53" s="3">
        <v>168.48709864302083</v>
      </c>
      <c r="CT53" s="3">
        <v>219.627445633875</v>
      </c>
      <c r="CU53" s="7">
        <v>0.06</v>
      </c>
      <c r="CV53" s="7">
        <v>0.14000000000000001</v>
      </c>
      <c r="CW53" s="7">
        <v>7.0000000000000007E-2</v>
      </c>
      <c r="CX53" s="7">
        <v>0.04</v>
      </c>
      <c r="CY53" s="3">
        <f t="shared" ref="CY53:CY104" si="2">+CQ53*CU53+CR53*CV53+CS53*CW53+CT53*CX53</f>
        <v>70.747111660987827</v>
      </c>
      <c r="CZ53">
        <v>27</v>
      </c>
      <c r="DA53">
        <v>11</v>
      </c>
      <c r="DB53">
        <v>9690</v>
      </c>
      <c r="DC53">
        <v>27</v>
      </c>
      <c r="DE53" t="s">
        <v>147</v>
      </c>
      <c r="DK53" s="5">
        <v>1423.0350000000001</v>
      </c>
      <c r="DM53" s="5">
        <v>479.33875</v>
      </c>
    </row>
    <row r="54" spans="1:117" x14ac:dyDescent="0.25">
      <c r="A54" t="s">
        <v>102</v>
      </c>
      <c r="B54" t="s">
        <v>120</v>
      </c>
      <c r="C54">
        <v>115.603514</v>
      </c>
      <c r="D54">
        <v>-31.331817000000001</v>
      </c>
      <c r="E54">
        <v>2017</v>
      </c>
      <c r="F54" t="s">
        <v>137</v>
      </c>
      <c r="G54" t="s">
        <v>140</v>
      </c>
      <c r="H54" t="s">
        <v>143</v>
      </c>
      <c r="I54">
        <v>22.5</v>
      </c>
      <c r="J54">
        <v>62.2</v>
      </c>
      <c r="K54">
        <v>912624</v>
      </c>
      <c r="L54">
        <v>15.04</v>
      </c>
      <c r="M54">
        <v>30.7</v>
      </c>
      <c r="N54">
        <v>290.10000000000002</v>
      </c>
      <c r="O54">
        <v>62.5</v>
      </c>
      <c r="P54">
        <v>22.9</v>
      </c>
      <c r="Q54">
        <v>131</v>
      </c>
      <c r="R54">
        <v>729310.6</v>
      </c>
      <c r="S54">
        <v>14.13</v>
      </c>
      <c r="T54">
        <v>27.7</v>
      </c>
      <c r="U54">
        <v>208.2</v>
      </c>
      <c r="V54">
        <v>67.599999999999994</v>
      </c>
      <c r="W54">
        <v>21.1</v>
      </c>
      <c r="X54">
        <v>16.2</v>
      </c>
      <c r="Y54">
        <v>668157.5</v>
      </c>
      <c r="Z54">
        <v>11.8</v>
      </c>
      <c r="AA54">
        <v>25.5</v>
      </c>
      <c r="AB54">
        <v>191.8</v>
      </c>
      <c r="AC54">
        <v>68.2</v>
      </c>
      <c r="AD54">
        <v>19.100000000000001</v>
      </c>
      <c r="AE54">
        <v>1</v>
      </c>
      <c r="AF54">
        <v>561997.69999999995</v>
      </c>
      <c r="AG54">
        <v>9.8699999999999992</v>
      </c>
      <c r="AH54">
        <v>22.3</v>
      </c>
      <c r="AI54">
        <v>162.30000000000001</v>
      </c>
      <c r="AJ54">
        <v>67</v>
      </c>
      <c r="AK54">
        <v>16.5</v>
      </c>
      <c r="AL54">
        <v>37.4</v>
      </c>
      <c r="AM54">
        <v>401328.4</v>
      </c>
      <c r="AN54">
        <v>9.36</v>
      </c>
      <c r="AO54">
        <v>17.100000000000001</v>
      </c>
      <c r="AP54">
        <v>106.3</v>
      </c>
      <c r="AQ54">
        <v>71.599999999999994</v>
      </c>
      <c r="AR54">
        <v>14.3</v>
      </c>
      <c r="AS54">
        <v>52.6</v>
      </c>
      <c r="AT54">
        <v>345224</v>
      </c>
      <c r="AU54">
        <v>9.1199999999999992</v>
      </c>
      <c r="AV54">
        <v>13.7</v>
      </c>
      <c r="AW54">
        <v>94.3</v>
      </c>
      <c r="AX54">
        <v>68.2</v>
      </c>
      <c r="AY54">
        <v>13.8</v>
      </c>
      <c r="AZ54">
        <v>199</v>
      </c>
      <c r="BA54">
        <v>300226.8</v>
      </c>
      <c r="BB54">
        <v>11.29</v>
      </c>
      <c r="BC54">
        <v>13.5</v>
      </c>
      <c r="BD54">
        <v>71.2</v>
      </c>
      <c r="BE54">
        <v>79.2</v>
      </c>
      <c r="BF54">
        <v>13.7</v>
      </c>
      <c r="BG54">
        <v>136.80000000000001</v>
      </c>
      <c r="BH54">
        <v>430331.9</v>
      </c>
      <c r="BI54">
        <v>10.85</v>
      </c>
      <c r="BJ54">
        <v>14.3</v>
      </c>
      <c r="BK54">
        <v>97.2</v>
      </c>
      <c r="BL54">
        <v>76.8</v>
      </c>
      <c r="BM54">
        <v>14.8</v>
      </c>
      <c r="BN54">
        <v>80.400000000000006</v>
      </c>
      <c r="BO54">
        <v>537810.9</v>
      </c>
      <c r="BP54">
        <v>10.25</v>
      </c>
      <c r="BQ54">
        <v>17.100000000000001</v>
      </c>
      <c r="BR54">
        <v>125.5</v>
      </c>
      <c r="BS54">
        <v>73.900000000000006</v>
      </c>
      <c r="BT54">
        <v>16.600000000000001</v>
      </c>
      <c r="BU54">
        <v>22.6</v>
      </c>
      <c r="BV54">
        <v>727603.8</v>
      </c>
      <c r="BW54">
        <v>12.58</v>
      </c>
      <c r="BX54">
        <v>20.3</v>
      </c>
      <c r="BY54">
        <v>187.6</v>
      </c>
      <c r="BZ54">
        <v>67.7</v>
      </c>
      <c r="CA54">
        <v>21.1</v>
      </c>
      <c r="CB54">
        <v>2</v>
      </c>
      <c r="CC54">
        <v>879413.7</v>
      </c>
      <c r="CD54">
        <v>13.46</v>
      </c>
      <c r="CE54">
        <v>27.5</v>
      </c>
      <c r="CF54">
        <v>256.10000000000002</v>
      </c>
      <c r="CG54">
        <v>61.6</v>
      </c>
      <c r="CH54">
        <v>21.9</v>
      </c>
      <c r="CI54">
        <v>25.6</v>
      </c>
      <c r="CJ54">
        <v>947929.4</v>
      </c>
      <c r="CK54">
        <v>14.95</v>
      </c>
      <c r="CL54">
        <v>28.1</v>
      </c>
      <c r="CM54">
        <v>282.5</v>
      </c>
      <c r="CN54">
        <v>61.8</v>
      </c>
      <c r="CP54" s="3">
        <v>119.07146077499999</v>
      </c>
      <c r="CQ54" s="3">
        <v>235.14453102913441</v>
      </c>
      <c r="CR54" s="3">
        <v>211.74875985799997</v>
      </c>
      <c r="CS54" s="3">
        <v>150.26687985202918</v>
      </c>
      <c r="CT54" s="3">
        <v>166.58352970400003</v>
      </c>
      <c r="CU54" s="7">
        <v>0.06</v>
      </c>
      <c r="CV54" s="7">
        <v>0.14000000000000001</v>
      </c>
      <c r="CW54" s="7">
        <v>7.0000000000000007E-2</v>
      </c>
      <c r="CX54" s="7">
        <v>0.04</v>
      </c>
      <c r="CY54" s="3">
        <f t="shared" si="2"/>
        <v>60.935521019670105</v>
      </c>
      <c r="CZ54">
        <v>30</v>
      </c>
      <c r="DA54">
        <v>10</v>
      </c>
      <c r="DB54">
        <v>8760</v>
      </c>
      <c r="DC54">
        <v>29</v>
      </c>
      <c r="DE54" t="s">
        <v>147</v>
      </c>
      <c r="DK54" s="5">
        <v>1581.15</v>
      </c>
      <c r="DM54" s="5">
        <v>435.76250000000005</v>
      </c>
    </row>
    <row r="55" spans="1:117" x14ac:dyDescent="0.25">
      <c r="A55" t="s">
        <v>102</v>
      </c>
      <c r="B55" t="s">
        <v>120</v>
      </c>
      <c r="C55">
        <v>115.603514</v>
      </c>
      <c r="D55">
        <v>-31.331817000000001</v>
      </c>
      <c r="E55">
        <v>2018</v>
      </c>
      <c r="F55" t="s">
        <v>137</v>
      </c>
      <c r="G55" t="s">
        <v>140</v>
      </c>
      <c r="H55" t="s">
        <v>143</v>
      </c>
      <c r="I55">
        <v>22.7</v>
      </c>
      <c r="J55">
        <v>58.2</v>
      </c>
      <c r="K55">
        <v>925504.1</v>
      </c>
      <c r="L55">
        <v>15.77</v>
      </c>
      <c r="M55">
        <v>29</v>
      </c>
      <c r="N55">
        <v>278.39999999999998</v>
      </c>
      <c r="O55">
        <v>64.7</v>
      </c>
      <c r="P55">
        <v>22.5</v>
      </c>
      <c r="Q55">
        <v>0.6</v>
      </c>
      <c r="R55">
        <v>755642.2</v>
      </c>
      <c r="S55">
        <v>14.37</v>
      </c>
      <c r="T55">
        <v>29.1</v>
      </c>
      <c r="U55">
        <v>225.8</v>
      </c>
      <c r="V55">
        <v>65.599999999999994</v>
      </c>
      <c r="W55">
        <v>23.2</v>
      </c>
      <c r="X55">
        <v>2.4</v>
      </c>
      <c r="Y55">
        <v>688637.6</v>
      </c>
      <c r="Z55">
        <v>13.52</v>
      </c>
      <c r="AA55">
        <v>27.8</v>
      </c>
      <c r="AB55">
        <v>226.2</v>
      </c>
      <c r="AC55">
        <v>60.8</v>
      </c>
      <c r="AD55">
        <v>19.2</v>
      </c>
      <c r="AE55">
        <v>25.4</v>
      </c>
      <c r="AF55">
        <v>514077.7</v>
      </c>
      <c r="AG55">
        <v>9.65</v>
      </c>
      <c r="AH55">
        <v>22.1</v>
      </c>
      <c r="AI55">
        <v>143.9</v>
      </c>
      <c r="AJ55">
        <v>70.099999999999994</v>
      </c>
      <c r="AK55">
        <v>17.3</v>
      </c>
      <c r="AL55">
        <v>55.8</v>
      </c>
      <c r="AM55">
        <v>414422.6</v>
      </c>
      <c r="AN55">
        <v>10.87</v>
      </c>
      <c r="AO55">
        <v>17.7</v>
      </c>
      <c r="AP55">
        <v>138.5</v>
      </c>
      <c r="AQ55">
        <v>58.7</v>
      </c>
      <c r="AR55">
        <v>13.8</v>
      </c>
      <c r="AS55">
        <v>145.6</v>
      </c>
      <c r="AT55">
        <v>303268.5</v>
      </c>
      <c r="AU55">
        <v>8.43</v>
      </c>
      <c r="AV55">
        <v>13.6</v>
      </c>
      <c r="AW55">
        <v>66.2</v>
      </c>
      <c r="AX55">
        <v>77.599999999999994</v>
      </c>
      <c r="AY55">
        <v>14.3</v>
      </c>
      <c r="AZ55">
        <v>127.2</v>
      </c>
      <c r="BA55">
        <v>324039.59999999998</v>
      </c>
      <c r="BB55">
        <v>11.94</v>
      </c>
      <c r="BC55">
        <v>13.6</v>
      </c>
      <c r="BD55">
        <v>79.5</v>
      </c>
      <c r="BE55">
        <v>76.5</v>
      </c>
      <c r="BF55">
        <v>13.2</v>
      </c>
      <c r="BG55">
        <v>152.6</v>
      </c>
      <c r="BH55">
        <v>433235.6</v>
      </c>
      <c r="BI55">
        <v>11.85</v>
      </c>
      <c r="BJ55">
        <v>13.8</v>
      </c>
      <c r="BK55">
        <v>101.2</v>
      </c>
      <c r="BL55">
        <v>76.3</v>
      </c>
      <c r="BM55">
        <v>14.1</v>
      </c>
      <c r="BN55">
        <v>19.8</v>
      </c>
      <c r="BO55">
        <v>585938.80000000005</v>
      </c>
      <c r="BP55">
        <v>9.99</v>
      </c>
      <c r="BQ55">
        <v>16.7</v>
      </c>
      <c r="BR55">
        <v>134.6</v>
      </c>
      <c r="BS55">
        <v>74.8</v>
      </c>
      <c r="BT55">
        <v>17.2</v>
      </c>
      <c r="BU55">
        <v>47.2</v>
      </c>
      <c r="BV55">
        <v>699053.4</v>
      </c>
      <c r="BW55">
        <v>11.89</v>
      </c>
      <c r="BX55">
        <v>21.4</v>
      </c>
      <c r="BY55">
        <v>176.6</v>
      </c>
      <c r="BZ55">
        <v>72.7</v>
      </c>
      <c r="CA55">
        <v>18.2</v>
      </c>
      <c r="CB55">
        <v>2.2000000000000002</v>
      </c>
      <c r="CC55">
        <v>857853.5</v>
      </c>
      <c r="CD55">
        <v>14.36</v>
      </c>
      <c r="CE55">
        <v>26.5</v>
      </c>
      <c r="CF55">
        <v>228.6</v>
      </c>
      <c r="CG55">
        <v>65.7</v>
      </c>
      <c r="CH55">
        <v>21.3</v>
      </c>
      <c r="CI55">
        <v>6.4</v>
      </c>
      <c r="CJ55">
        <v>943787.4</v>
      </c>
      <c r="CK55">
        <v>13.87</v>
      </c>
      <c r="CL55">
        <v>30.7</v>
      </c>
      <c r="CM55">
        <v>269.39999999999998</v>
      </c>
      <c r="CN55">
        <v>65.5</v>
      </c>
      <c r="CP55" s="3">
        <v>149.45420497500001</v>
      </c>
      <c r="CQ55" s="3">
        <v>274.57347051901041</v>
      </c>
      <c r="CR55" s="3">
        <v>237.4236465424917</v>
      </c>
      <c r="CS55" s="3">
        <v>174.41377918435418</v>
      </c>
      <c r="CT55" s="3">
        <v>166.56083829114584</v>
      </c>
      <c r="CU55" s="7">
        <v>0.06</v>
      </c>
      <c r="CV55" s="7">
        <v>0.14000000000000001</v>
      </c>
      <c r="CW55" s="7">
        <v>7.0000000000000007E-2</v>
      </c>
      <c r="CX55" s="7">
        <v>0.04</v>
      </c>
      <c r="CY55" s="3">
        <f t="shared" si="2"/>
        <v>68.585116821640085</v>
      </c>
      <c r="CZ55">
        <v>63</v>
      </c>
      <c r="DA55">
        <v>18</v>
      </c>
      <c r="DB55">
        <v>24980</v>
      </c>
      <c r="DC55">
        <v>63</v>
      </c>
      <c r="DE55" t="s">
        <v>147</v>
      </c>
      <c r="DK55" s="5">
        <v>3320.4150000000004</v>
      </c>
      <c r="DM55" s="5">
        <v>784.37250000000006</v>
      </c>
    </row>
    <row r="56" spans="1:117" x14ac:dyDescent="0.25">
      <c r="A56" t="s">
        <v>102</v>
      </c>
      <c r="B56" t="s">
        <v>120</v>
      </c>
      <c r="C56">
        <v>115.603514</v>
      </c>
      <c r="D56">
        <v>-31.331817000000001</v>
      </c>
      <c r="E56">
        <v>2019</v>
      </c>
      <c r="F56" t="s">
        <v>137</v>
      </c>
      <c r="G56" t="s">
        <v>140</v>
      </c>
      <c r="H56" t="s">
        <v>143</v>
      </c>
      <c r="I56">
        <v>22</v>
      </c>
      <c r="J56">
        <v>5.8</v>
      </c>
      <c r="K56">
        <v>972508.8</v>
      </c>
      <c r="L56">
        <v>14.46</v>
      </c>
      <c r="M56">
        <v>31.9</v>
      </c>
      <c r="N56">
        <v>283.89999999999998</v>
      </c>
      <c r="O56">
        <v>63.9</v>
      </c>
      <c r="P56">
        <v>23.1</v>
      </c>
      <c r="Q56">
        <v>0.4</v>
      </c>
      <c r="R56">
        <v>785590.5</v>
      </c>
      <c r="S56">
        <v>13.33</v>
      </c>
      <c r="T56">
        <v>32.1</v>
      </c>
      <c r="U56">
        <v>245.4</v>
      </c>
      <c r="V56">
        <v>63.7</v>
      </c>
      <c r="W56">
        <v>22.5</v>
      </c>
      <c r="X56">
        <v>2.2000000000000002</v>
      </c>
      <c r="Y56">
        <v>672033.4</v>
      </c>
      <c r="Z56">
        <v>12.07</v>
      </c>
      <c r="AA56">
        <v>28.6</v>
      </c>
      <c r="AB56">
        <v>205.5</v>
      </c>
      <c r="AC56">
        <v>64.3</v>
      </c>
      <c r="AD56">
        <v>19</v>
      </c>
      <c r="AE56">
        <v>18</v>
      </c>
      <c r="AF56">
        <v>526078.1</v>
      </c>
      <c r="AG56">
        <v>11.17</v>
      </c>
      <c r="AH56">
        <v>22.5</v>
      </c>
      <c r="AI56">
        <v>157.1</v>
      </c>
      <c r="AJ56">
        <v>63.7</v>
      </c>
      <c r="AK56">
        <v>15.4</v>
      </c>
      <c r="AL56">
        <v>7</v>
      </c>
      <c r="AM56">
        <v>429817.8</v>
      </c>
      <c r="AN56">
        <v>9.35</v>
      </c>
      <c r="AO56">
        <v>16.600000000000001</v>
      </c>
      <c r="AP56">
        <v>123.9</v>
      </c>
      <c r="AQ56">
        <v>63.6</v>
      </c>
      <c r="AR56">
        <v>14.3</v>
      </c>
      <c r="AS56">
        <v>161</v>
      </c>
      <c r="AT56">
        <v>291767.09999999998</v>
      </c>
      <c r="AU56">
        <v>11.24</v>
      </c>
      <c r="AV56">
        <v>14.3</v>
      </c>
      <c r="AW56">
        <v>86.4</v>
      </c>
      <c r="AX56">
        <v>69</v>
      </c>
      <c r="AY56">
        <v>13.6</v>
      </c>
      <c r="AZ56">
        <v>102.6</v>
      </c>
      <c r="BA56">
        <v>357746.2</v>
      </c>
      <c r="BB56">
        <v>8.81</v>
      </c>
      <c r="BC56">
        <v>13.6</v>
      </c>
      <c r="BD56">
        <v>77.5</v>
      </c>
      <c r="BE56">
        <v>77.8</v>
      </c>
      <c r="BF56">
        <v>14.1</v>
      </c>
      <c r="BG56">
        <v>102.6</v>
      </c>
      <c r="BH56">
        <v>479283.1</v>
      </c>
      <c r="BI56">
        <v>10.5</v>
      </c>
      <c r="BJ56">
        <v>14.8</v>
      </c>
      <c r="BK56">
        <v>122.1</v>
      </c>
      <c r="BL56">
        <v>70</v>
      </c>
      <c r="BM56">
        <v>15.7</v>
      </c>
      <c r="BN56">
        <v>22.6</v>
      </c>
      <c r="BO56">
        <v>628132.5</v>
      </c>
      <c r="BP56">
        <v>9.99</v>
      </c>
      <c r="BQ56">
        <v>18.2</v>
      </c>
      <c r="BR56">
        <v>152.5</v>
      </c>
      <c r="BS56">
        <v>73</v>
      </c>
      <c r="BT56">
        <v>17.399999999999999</v>
      </c>
      <c r="BU56">
        <v>23.8</v>
      </c>
      <c r="BV56">
        <v>750079.9</v>
      </c>
      <c r="BW56">
        <v>11.7</v>
      </c>
      <c r="BX56">
        <v>22.6</v>
      </c>
      <c r="BY56">
        <v>194.8</v>
      </c>
      <c r="BZ56">
        <v>70.5</v>
      </c>
      <c r="CA56">
        <v>20.8</v>
      </c>
      <c r="CB56">
        <v>9.6</v>
      </c>
      <c r="CC56">
        <v>910457.2</v>
      </c>
      <c r="CD56">
        <v>13.91</v>
      </c>
      <c r="CE56">
        <v>28.2</v>
      </c>
      <c r="CF56">
        <v>268</v>
      </c>
      <c r="CG56">
        <v>58.9</v>
      </c>
      <c r="CH56">
        <v>24.2</v>
      </c>
      <c r="CI56">
        <v>2.2000000000000002</v>
      </c>
      <c r="CJ56">
        <v>959020.6</v>
      </c>
      <c r="CK56">
        <v>12.88</v>
      </c>
      <c r="CL56">
        <v>33.6</v>
      </c>
      <c r="CM56">
        <v>302.60000000000002</v>
      </c>
      <c r="CN56">
        <v>56.7</v>
      </c>
      <c r="CP56" s="3">
        <v>151.20769046666666</v>
      </c>
      <c r="CQ56" s="3">
        <v>267.33967790703502</v>
      </c>
      <c r="CR56" s="3">
        <v>246.94953969827165</v>
      </c>
      <c r="CS56" s="3">
        <v>186.82042264949916</v>
      </c>
      <c r="CT56" s="3">
        <v>164.67061180174997</v>
      </c>
      <c r="CU56" s="7">
        <v>0.06</v>
      </c>
      <c r="CV56" s="7">
        <v>0.14000000000000001</v>
      </c>
      <c r="CW56" s="7">
        <v>7.0000000000000007E-2</v>
      </c>
      <c r="CX56" s="7">
        <v>0.04</v>
      </c>
      <c r="CY56" s="3">
        <f t="shared" si="2"/>
        <v>70.277570289715072</v>
      </c>
      <c r="CZ56">
        <v>34</v>
      </c>
      <c r="DA56">
        <v>13</v>
      </c>
      <c r="DB56">
        <v>13270</v>
      </c>
      <c r="DC56">
        <v>30</v>
      </c>
      <c r="DE56" t="s">
        <v>147</v>
      </c>
      <c r="DK56" s="5">
        <v>1791.9700000000003</v>
      </c>
      <c r="DM56" s="5">
        <v>566.49125000000004</v>
      </c>
    </row>
    <row r="57" spans="1:117" x14ac:dyDescent="0.25">
      <c r="A57" t="s">
        <v>102</v>
      </c>
      <c r="B57" t="s">
        <v>120</v>
      </c>
      <c r="C57">
        <v>115.603514</v>
      </c>
      <c r="D57">
        <v>-31.331817000000001</v>
      </c>
      <c r="E57">
        <v>2020</v>
      </c>
      <c r="F57" t="s">
        <v>137</v>
      </c>
      <c r="G57" t="s">
        <v>140</v>
      </c>
      <c r="H57" t="s">
        <v>143</v>
      </c>
      <c r="I57">
        <v>22.7</v>
      </c>
      <c r="J57">
        <v>2.2000000000000002</v>
      </c>
      <c r="K57">
        <v>958778.5</v>
      </c>
      <c r="L57">
        <v>14.98</v>
      </c>
      <c r="M57">
        <v>32.799999999999997</v>
      </c>
      <c r="N57">
        <v>291.8</v>
      </c>
      <c r="O57">
        <v>61.7</v>
      </c>
      <c r="P57">
        <v>25.1</v>
      </c>
      <c r="Q57">
        <v>16</v>
      </c>
      <c r="R57">
        <v>699239.6</v>
      </c>
      <c r="S57">
        <v>13.41</v>
      </c>
      <c r="T57">
        <v>32.4</v>
      </c>
      <c r="U57">
        <v>233.8</v>
      </c>
      <c r="V57">
        <v>59.1</v>
      </c>
      <c r="W57">
        <v>23</v>
      </c>
      <c r="X57">
        <v>13.8</v>
      </c>
      <c r="Y57">
        <v>648171.9</v>
      </c>
      <c r="Z57">
        <v>11.66</v>
      </c>
      <c r="AA57">
        <v>27.2</v>
      </c>
      <c r="AB57">
        <v>207.8</v>
      </c>
      <c r="AC57">
        <v>59.9</v>
      </c>
      <c r="AD57">
        <v>20.100000000000001</v>
      </c>
      <c r="AE57">
        <v>9.6</v>
      </c>
      <c r="AF57">
        <v>474616.4</v>
      </c>
      <c r="AG57">
        <v>9.59</v>
      </c>
      <c r="AH57">
        <v>22.9</v>
      </c>
      <c r="AI57">
        <v>145.5</v>
      </c>
      <c r="AJ57">
        <v>64.099999999999994</v>
      </c>
      <c r="AK57">
        <v>15.9</v>
      </c>
      <c r="AL57">
        <v>58.2</v>
      </c>
      <c r="AM57">
        <v>406028.9</v>
      </c>
      <c r="AN57">
        <v>11.52</v>
      </c>
      <c r="AO57">
        <v>16.2</v>
      </c>
      <c r="AP57">
        <v>121.9</v>
      </c>
      <c r="AQ57">
        <v>66.3</v>
      </c>
      <c r="AR57">
        <v>15.8</v>
      </c>
      <c r="AS57">
        <v>113.6</v>
      </c>
      <c r="AT57">
        <v>310064.7</v>
      </c>
      <c r="AU57">
        <v>10.27</v>
      </c>
      <c r="AV57">
        <v>15</v>
      </c>
      <c r="AW57">
        <v>86.2</v>
      </c>
      <c r="AX57">
        <v>69.8</v>
      </c>
      <c r="AY57">
        <v>14</v>
      </c>
      <c r="AZ57">
        <v>59</v>
      </c>
      <c r="BA57">
        <v>369293.7</v>
      </c>
      <c r="BB57">
        <v>9.66</v>
      </c>
      <c r="BC57">
        <v>13.7</v>
      </c>
      <c r="BD57">
        <v>88.3</v>
      </c>
      <c r="BE57">
        <v>74.8</v>
      </c>
      <c r="BF57">
        <v>13.7</v>
      </c>
      <c r="BG57">
        <v>97.8</v>
      </c>
      <c r="BH57">
        <v>429501.3</v>
      </c>
      <c r="BI57">
        <v>10.99</v>
      </c>
      <c r="BJ57">
        <v>14.2</v>
      </c>
      <c r="BK57">
        <v>101.1</v>
      </c>
      <c r="BL57">
        <v>75</v>
      </c>
      <c r="BM57">
        <v>15.9</v>
      </c>
      <c r="BN57">
        <v>54</v>
      </c>
      <c r="BO57">
        <v>550709</v>
      </c>
      <c r="BP57">
        <v>12.23</v>
      </c>
      <c r="BQ57">
        <v>17</v>
      </c>
      <c r="BR57">
        <v>143.6</v>
      </c>
      <c r="BS57">
        <v>68.900000000000006</v>
      </c>
      <c r="BT57">
        <v>18</v>
      </c>
      <c r="BU57">
        <v>11.4</v>
      </c>
      <c r="BV57">
        <v>798741.4</v>
      </c>
      <c r="BW57">
        <v>12.64</v>
      </c>
      <c r="BX57">
        <v>22.5</v>
      </c>
      <c r="BY57">
        <v>217.7</v>
      </c>
      <c r="BZ57">
        <v>65.5</v>
      </c>
      <c r="CA57">
        <v>18.399999999999999</v>
      </c>
      <c r="CB57">
        <v>94.6</v>
      </c>
      <c r="CC57">
        <v>780921.7</v>
      </c>
      <c r="CD57">
        <v>12.84</v>
      </c>
      <c r="CE57">
        <v>23.7</v>
      </c>
      <c r="CF57">
        <v>207.1</v>
      </c>
      <c r="CG57">
        <v>67.8</v>
      </c>
      <c r="CH57">
        <v>23.1</v>
      </c>
      <c r="CI57">
        <v>6.2</v>
      </c>
      <c r="CJ57">
        <v>1027961</v>
      </c>
      <c r="CK57">
        <v>15.65</v>
      </c>
      <c r="CL57">
        <v>28.6</v>
      </c>
      <c r="CM57">
        <v>327.5</v>
      </c>
      <c r="CN57">
        <v>53.5</v>
      </c>
      <c r="CP57" s="3">
        <v>137.12151142499999</v>
      </c>
      <c r="CQ57" s="3">
        <v>183.94377395835087</v>
      </c>
      <c r="CR57" s="3">
        <v>171.50265380089249</v>
      </c>
      <c r="CS57" s="3">
        <v>153.47587761539251</v>
      </c>
      <c r="CT57" s="3">
        <v>168.62831412656331</v>
      </c>
      <c r="CU57" s="7">
        <v>0.06</v>
      </c>
      <c r="CV57" s="7">
        <v>0.14000000000000001</v>
      </c>
      <c r="CW57" s="7">
        <v>7.0000000000000007E-2</v>
      </c>
      <c r="CX57" s="7">
        <v>0.04</v>
      </c>
      <c r="CY57" s="3">
        <f t="shared" si="2"/>
        <v>52.535441967766019</v>
      </c>
      <c r="CZ57">
        <v>39</v>
      </c>
      <c r="DA57">
        <v>12</v>
      </c>
      <c r="DB57">
        <v>15800</v>
      </c>
      <c r="DC57">
        <v>35</v>
      </c>
      <c r="DE57" t="s">
        <v>147</v>
      </c>
      <c r="DK57" s="5">
        <v>2055.4950000000003</v>
      </c>
      <c r="DM57" s="5">
        <v>522.91499999999996</v>
      </c>
    </row>
    <row r="58" spans="1:117" x14ac:dyDescent="0.25">
      <c r="A58" t="s">
        <v>103</v>
      </c>
      <c r="B58" t="s">
        <v>121</v>
      </c>
      <c r="C58">
        <v>114.99716100000001</v>
      </c>
      <c r="D58">
        <v>-29.063611999999999</v>
      </c>
      <c r="E58">
        <v>2013</v>
      </c>
      <c r="F58" t="s">
        <v>138</v>
      </c>
      <c r="G58" t="s">
        <v>141</v>
      </c>
      <c r="H58" t="s">
        <v>144</v>
      </c>
      <c r="I58">
        <v>25.6</v>
      </c>
      <c r="J58">
        <v>6.6</v>
      </c>
      <c r="K58">
        <v>661206.69999999995</v>
      </c>
      <c r="L58">
        <v>17.829999999999998</v>
      </c>
      <c r="N58">
        <v>231.9</v>
      </c>
      <c r="O58">
        <v>54.3</v>
      </c>
      <c r="P58">
        <v>27.2</v>
      </c>
      <c r="Q58">
        <v>2.6</v>
      </c>
      <c r="R58">
        <v>692491</v>
      </c>
      <c r="S58">
        <v>16.75</v>
      </c>
      <c r="U58">
        <v>278</v>
      </c>
      <c r="V58">
        <v>46.8</v>
      </c>
      <c r="W58">
        <v>22.4</v>
      </c>
      <c r="X58">
        <v>41.2</v>
      </c>
      <c r="Y58">
        <v>636139.30000000005</v>
      </c>
      <c r="Z58">
        <v>15.19</v>
      </c>
      <c r="AB58">
        <v>219.1</v>
      </c>
      <c r="AC58">
        <v>62.1</v>
      </c>
      <c r="AD58">
        <v>22.8</v>
      </c>
      <c r="AE58">
        <v>11</v>
      </c>
      <c r="AF58">
        <v>468404.5</v>
      </c>
      <c r="AG58">
        <v>11.15</v>
      </c>
      <c r="AI58">
        <v>168.6</v>
      </c>
      <c r="AJ58">
        <v>59.5</v>
      </c>
      <c r="AK58">
        <v>16.8</v>
      </c>
      <c r="AL58">
        <v>111.6</v>
      </c>
      <c r="AM58">
        <v>380294.9</v>
      </c>
      <c r="AN58">
        <v>11.78</v>
      </c>
      <c r="AP58">
        <v>106.7</v>
      </c>
      <c r="AQ58">
        <v>69.2</v>
      </c>
      <c r="AR58">
        <v>14.4</v>
      </c>
      <c r="AS58">
        <v>8.4</v>
      </c>
      <c r="AT58">
        <v>386822.2</v>
      </c>
      <c r="AU58">
        <v>11.01</v>
      </c>
      <c r="AW58">
        <v>102.5</v>
      </c>
      <c r="AX58">
        <v>66.5</v>
      </c>
      <c r="AY58">
        <v>13.5</v>
      </c>
      <c r="AZ58">
        <v>79.8</v>
      </c>
      <c r="BA58">
        <v>411585</v>
      </c>
      <c r="BB58">
        <v>12.45</v>
      </c>
      <c r="BD58">
        <v>113.6</v>
      </c>
      <c r="BE58">
        <v>66.3</v>
      </c>
      <c r="BF58">
        <v>15.3</v>
      </c>
      <c r="BG58">
        <v>120</v>
      </c>
      <c r="BH58">
        <v>459613.9</v>
      </c>
      <c r="BI58">
        <v>12.22</v>
      </c>
      <c r="BK58">
        <v>117.3</v>
      </c>
      <c r="BL58">
        <v>72.8</v>
      </c>
      <c r="BM58">
        <v>15.7</v>
      </c>
      <c r="BN58">
        <v>67.400000000000006</v>
      </c>
      <c r="BO58">
        <v>572130.30000000005</v>
      </c>
      <c r="BP58">
        <v>15.23</v>
      </c>
      <c r="BR58">
        <v>141.69999999999999</v>
      </c>
      <c r="BS58">
        <v>73.2</v>
      </c>
      <c r="BT58">
        <v>18.2</v>
      </c>
      <c r="BU58">
        <v>34.200000000000003</v>
      </c>
      <c r="BV58">
        <v>833838.2</v>
      </c>
      <c r="BW58">
        <v>13.59</v>
      </c>
      <c r="BY58">
        <v>231.5</v>
      </c>
      <c r="BZ58">
        <v>66.2</v>
      </c>
      <c r="CA58">
        <v>21.9</v>
      </c>
      <c r="CB58">
        <v>1.4</v>
      </c>
      <c r="CC58">
        <v>865011.8</v>
      </c>
      <c r="CD58">
        <v>15.84</v>
      </c>
      <c r="CF58">
        <v>270.10000000000002</v>
      </c>
      <c r="CG58">
        <v>59.3</v>
      </c>
      <c r="CH58">
        <v>23.7</v>
      </c>
      <c r="CI58">
        <v>0.6</v>
      </c>
      <c r="CJ58">
        <v>978198.7</v>
      </c>
      <c r="CK58">
        <v>17.5</v>
      </c>
      <c r="CM58">
        <v>329.9</v>
      </c>
      <c r="CN58">
        <v>53.9</v>
      </c>
      <c r="CP58" s="3">
        <v>344.25478384166667</v>
      </c>
      <c r="CQ58" s="3">
        <v>485.1324771412531</v>
      </c>
      <c r="CR58" s="3">
        <v>453.99912920229173</v>
      </c>
      <c r="CS58" s="3">
        <v>379.15555696741984</v>
      </c>
      <c r="CT58" s="3">
        <v>431.36433691804177</v>
      </c>
      <c r="CU58" s="7">
        <v>0.06</v>
      </c>
      <c r="CV58" s="7">
        <v>0.14000000000000001</v>
      </c>
      <c r="CW58" s="7">
        <v>7.0000000000000007E-2</v>
      </c>
      <c r="CX58" s="7">
        <v>0.04</v>
      </c>
      <c r="CY58" s="3">
        <f t="shared" si="2"/>
        <v>136.46328918123712</v>
      </c>
      <c r="CZ58">
        <v>1198</v>
      </c>
      <c r="DA58">
        <v>1617</v>
      </c>
      <c r="DB58">
        <v>619230</v>
      </c>
      <c r="DC58">
        <v>1156</v>
      </c>
      <c r="DE58" t="s">
        <v>147</v>
      </c>
      <c r="DK58" s="5">
        <v>2167.1354366602686</v>
      </c>
      <c r="DM58" s="5">
        <v>1813.3079490291261</v>
      </c>
    </row>
    <row r="59" spans="1:117" x14ac:dyDescent="0.25">
      <c r="A59" t="s">
        <v>103</v>
      </c>
      <c r="B59" t="s">
        <v>121</v>
      </c>
      <c r="C59">
        <v>114.99716100000001</v>
      </c>
      <c r="D59">
        <v>-29.063611999999999</v>
      </c>
      <c r="E59">
        <v>2014</v>
      </c>
      <c r="F59" t="s">
        <v>138</v>
      </c>
      <c r="G59" t="s">
        <v>141</v>
      </c>
      <c r="H59" t="s">
        <v>144</v>
      </c>
      <c r="I59">
        <v>25.1</v>
      </c>
      <c r="J59">
        <v>0.4</v>
      </c>
      <c r="K59">
        <v>945887.4</v>
      </c>
      <c r="L59">
        <v>18.68</v>
      </c>
      <c r="N59">
        <v>334.5</v>
      </c>
      <c r="O59">
        <v>56.8</v>
      </c>
      <c r="P59">
        <v>27.2</v>
      </c>
      <c r="Q59">
        <v>2.2000000000000002</v>
      </c>
      <c r="R59">
        <v>798076.6</v>
      </c>
      <c r="S59">
        <v>18.23</v>
      </c>
      <c r="U59">
        <v>298.3</v>
      </c>
      <c r="V59">
        <v>50</v>
      </c>
      <c r="W59">
        <v>23.6</v>
      </c>
      <c r="X59">
        <v>6</v>
      </c>
      <c r="Y59">
        <v>698885.6</v>
      </c>
      <c r="Z59">
        <v>13.51</v>
      </c>
      <c r="AB59">
        <v>234.1</v>
      </c>
      <c r="AC59">
        <v>62.7</v>
      </c>
      <c r="AD59">
        <v>20.8</v>
      </c>
      <c r="AE59">
        <v>60.4</v>
      </c>
      <c r="AF59">
        <v>529884.9</v>
      </c>
      <c r="AG59">
        <v>12.62</v>
      </c>
      <c r="AI59">
        <v>175.2</v>
      </c>
      <c r="AJ59">
        <v>61.9</v>
      </c>
      <c r="AK59">
        <v>17</v>
      </c>
      <c r="AL59">
        <v>69.400000000000006</v>
      </c>
      <c r="AM59">
        <v>385695</v>
      </c>
      <c r="AN59">
        <v>11.14</v>
      </c>
      <c r="AP59">
        <v>101.4</v>
      </c>
      <c r="AQ59">
        <v>76.099999999999994</v>
      </c>
      <c r="AR59">
        <v>14.3</v>
      </c>
      <c r="AS59">
        <v>61.8</v>
      </c>
      <c r="AT59">
        <v>378258.5</v>
      </c>
      <c r="AU59">
        <v>13.32</v>
      </c>
      <c r="AW59">
        <v>110.1</v>
      </c>
      <c r="AX59">
        <v>66.3</v>
      </c>
      <c r="AY59">
        <v>13.8</v>
      </c>
      <c r="AZ59">
        <v>94.2</v>
      </c>
      <c r="BA59">
        <v>392966.5</v>
      </c>
      <c r="BB59">
        <v>10.3</v>
      </c>
      <c r="BD59">
        <v>86.4</v>
      </c>
      <c r="BE59">
        <v>77.8</v>
      </c>
      <c r="BF59">
        <v>17.100000000000001</v>
      </c>
      <c r="BG59">
        <v>35.6</v>
      </c>
      <c r="BH59">
        <v>498774.2</v>
      </c>
      <c r="BI59">
        <v>10.83</v>
      </c>
      <c r="BK59">
        <v>140</v>
      </c>
      <c r="BL59">
        <v>66.400000000000006</v>
      </c>
      <c r="BM59">
        <v>16.5</v>
      </c>
      <c r="BN59">
        <v>104.6</v>
      </c>
      <c r="BO59">
        <v>558154.1</v>
      </c>
      <c r="BP59">
        <v>10.71</v>
      </c>
      <c r="BR59">
        <v>131.4</v>
      </c>
      <c r="BS59">
        <v>76.900000000000006</v>
      </c>
      <c r="BT59">
        <v>18.2</v>
      </c>
      <c r="BU59">
        <v>3.6</v>
      </c>
      <c r="BV59">
        <v>766804.5</v>
      </c>
      <c r="BW59">
        <v>11.36</v>
      </c>
      <c r="BY59">
        <v>202.8</v>
      </c>
      <c r="BZ59">
        <v>71</v>
      </c>
      <c r="CA59">
        <v>19.600000000000001</v>
      </c>
      <c r="CB59">
        <v>5.8</v>
      </c>
      <c r="CC59">
        <v>845146.4</v>
      </c>
      <c r="CD59">
        <v>13.34</v>
      </c>
      <c r="CF59">
        <v>240.1</v>
      </c>
      <c r="CG59">
        <v>64.8</v>
      </c>
      <c r="CH59">
        <v>22.1</v>
      </c>
      <c r="CI59">
        <v>0</v>
      </c>
      <c r="CJ59">
        <v>991320.6</v>
      </c>
      <c r="CK59">
        <v>16.91</v>
      </c>
      <c r="CM59">
        <v>314.3</v>
      </c>
      <c r="CN59">
        <v>59.2</v>
      </c>
      <c r="CP59" s="3">
        <v>283.32452813333333</v>
      </c>
      <c r="CQ59" s="3">
        <v>368.2939243092531</v>
      </c>
      <c r="CR59" s="3">
        <v>330.59328943508331</v>
      </c>
      <c r="CS59" s="3">
        <v>279.4513129062604</v>
      </c>
      <c r="CT59" s="3">
        <v>325.40383910199995</v>
      </c>
      <c r="CU59" s="7">
        <v>0.06</v>
      </c>
      <c r="CV59" s="7">
        <v>0.14000000000000001</v>
      </c>
      <c r="CW59" s="7">
        <v>7.0000000000000007E-2</v>
      </c>
      <c r="CX59" s="7">
        <v>0.04</v>
      </c>
      <c r="CY59" s="3">
        <f t="shared" si="2"/>
        <v>100.95844144698508</v>
      </c>
      <c r="CZ59">
        <v>2476</v>
      </c>
      <c r="DA59">
        <v>1792</v>
      </c>
      <c r="DB59">
        <v>885690</v>
      </c>
      <c r="DC59">
        <v>2342</v>
      </c>
      <c r="DE59" t="s">
        <v>147</v>
      </c>
      <c r="DK59" s="5">
        <v>4478.9877639155475</v>
      </c>
      <c r="DM59" s="5">
        <v>2009.5533980582522</v>
      </c>
    </row>
    <row r="60" spans="1:117" x14ac:dyDescent="0.25">
      <c r="A60" t="s">
        <v>103</v>
      </c>
      <c r="B60" t="s">
        <v>121</v>
      </c>
      <c r="C60">
        <v>114.99716100000001</v>
      </c>
      <c r="D60">
        <v>-29.063611999999999</v>
      </c>
      <c r="E60">
        <v>2015</v>
      </c>
      <c r="F60" t="s">
        <v>138</v>
      </c>
      <c r="G60" t="s">
        <v>141</v>
      </c>
      <c r="H60" t="s">
        <v>144</v>
      </c>
      <c r="I60">
        <v>25.5</v>
      </c>
      <c r="J60">
        <v>2</v>
      </c>
      <c r="K60">
        <v>961670.1</v>
      </c>
      <c r="L60">
        <v>16.13</v>
      </c>
      <c r="N60">
        <v>334.8</v>
      </c>
      <c r="O60">
        <v>54.1</v>
      </c>
      <c r="P60">
        <v>25.3</v>
      </c>
      <c r="Q60">
        <v>12.4</v>
      </c>
      <c r="R60">
        <v>716370.8</v>
      </c>
      <c r="S60">
        <v>14.96</v>
      </c>
      <c r="U60">
        <v>237.4</v>
      </c>
      <c r="V60">
        <v>62.8</v>
      </c>
      <c r="W60">
        <v>23.5</v>
      </c>
      <c r="X60">
        <v>27.8</v>
      </c>
      <c r="Y60">
        <v>642037.4</v>
      </c>
      <c r="Z60">
        <v>14.96</v>
      </c>
      <c r="AB60">
        <v>223.6</v>
      </c>
      <c r="AC60">
        <v>60.8</v>
      </c>
      <c r="AD60">
        <v>21</v>
      </c>
      <c r="AE60">
        <v>28.4</v>
      </c>
      <c r="AF60">
        <v>492751.3</v>
      </c>
      <c r="AG60">
        <v>15.02</v>
      </c>
      <c r="AI60">
        <v>178.7</v>
      </c>
      <c r="AJ60">
        <v>59.3</v>
      </c>
      <c r="AK60">
        <v>17.100000000000001</v>
      </c>
      <c r="AL60">
        <v>22.4</v>
      </c>
      <c r="AM60">
        <v>471840.4</v>
      </c>
      <c r="AN60">
        <v>14.3</v>
      </c>
      <c r="AP60">
        <v>161.19999999999999</v>
      </c>
      <c r="AQ60">
        <v>57.7</v>
      </c>
      <c r="AR60">
        <v>16.2</v>
      </c>
      <c r="AS60">
        <v>58.2</v>
      </c>
      <c r="AT60">
        <v>350279.4</v>
      </c>
      <c r="AU60">
        <v>13.74</v>
      </c>
      <c r="AW60">
        <v>111.2</v>
      </c>
      <c r="AX60">
        <v>67.3</v>
      </c>
      <c r="AY60">
        <v>14.8</v>
      </c>
      <c r="AZ60">
        <v>83.6</v>
      </c>
      <c r="BA60">
        <v>347984.5</v>
      </c>
      <c r="BB60">
        <v>12.55</v>
      </c>
      <c r="BD60">
        <v>106.7</v>
      </c>
      <c r="BE60">
        <v>68.599999999999994</v>
      </c>
      <c r="BF60">
        <v>14.6</v>
      </c>
      <c r="BG60">
        <v>63.4</v>
      </c>
      <c r="BH60">
        <v>472877.5</v>
      </c>
      <c r="BI60">
        <v>13.29</v>
      </c>
      <c r="BK60">
        <v>116</v>
      </c>
      <c r="BL60">
        <v>74.900000000000006</v>
      </c>
      <c r="BM60">
        <v>16.7</v>
      </c>
      <c r="BN60">
        <v>18</v>
      </c>
      <c r="BO60">
        <v>656497.4</v>
      </c>
      <c r="BP60">
        <v>13.1</v>
      </c>
      <c r="BR60">
        <v>193.3</v>
      </c>
      <c r="BS60">
        <v>58.8</v>
      </c>
      <c r="BT60">
        <v>20</v>
      </c>
      <c r="BU60">
        <v>2.2000000000000002</v>
      </c>
      <c r="BV60">
        <v>709179.3</v>
      </c>
      <c r="BW60">
        <v>11.55</v>
      </c>
      <c r="BY60">
        <v>205.2</v>
      </c>
      <c r="BZ60">
        <v>63.3</v>
      </c>
      <c r="CA60">
        <v>22</v>
      </c>
      <c r="CB60">
        <v>13.2</v>
      </c>
      <c r="CC60">
        <v>818653.6</v>
      </c>
      <c r="CD60">
        <v>15.85</v>
      </c>
      <c r="CF60">
        <v>256.10000000000002</v>
      </c>
      <c r="CG60">
        <v>61.6</v>
      </c>
      <c r="CH60">
        <v>22.5</v>
      </c>
      <c r="CI60">
        <v>13.8</v>
      </c>
      <c r="CJ60">
        <v>934225.1</v>
      </c>
      <c r="CK60">
        <v>17.96</v>
      </c>
      <c r="CM60">
        <v>303.2</v>
      </c>
      <c r="CN60">
        <v>59</v>
      </c>
      <c r="CP60" s="3">
        <v>204.8839893083333</v>
      </c>
      <c r="CQ60" s="3">
        <v>357.71587473362189</v>
      </c>
      <c r="CR60" s="3">
        <v>322.98543302087501</v>
      </c>
      <c r="CS60" s="3">
        <v>251.33925340010413</v>
      </c>
      <c r="CT60" s="3">
        <v>238.07175714163543</v>
      </c>
      <c r="CU60" s="7">
        <v>0.06</v>
      </c>
      <c r="CV60" s="7">
        <v>0.14000000000000001</v>
      </c>
      <c r="CW60" s="7">
        <v>7.0000000000000007E-2</v>
      </c>
      <c r="CX60" s="7">
        <v>0.04</v>
      </c>
      <c r="CY60" s="3">
        <f t="shared" si="2"/>
        <v>93.797531130612526</v>
      </c>
      <c r="CZ60">
        <v>2505</v>
      </c>
      <c r="DA60">
        <v>2062</v>
      </c>
      <c r="DB60">
        <v>1031750</v>
      </c>
      <c r="DC60">
        <v>2372</v>
      </c>
      <c r="DE60" t="s">
        <v>147</v>
      </c>
      <c r="DK60" s="5">
        <v>4531.4476367562384</v>
      </c>
      <c r="DM60" s="5">
        <v>2312.3320908460469</v>
      </c>
    </row>
    <row r="61" spans="1:117" x14ac:dyDescent="0.25">
      <c r="A61" t="s">
        <v>103</v>
      </c>
      <c r="B61" t="s">
        <v>121</v>
      </c>
      <c r="C61">
        <v>114.99716100000001</v>
      </c>
      <c r="D61">
        <v>-29.063611999999999</v>
      </c>
      <c r="E61">
        <v>2016</v>
      </c>
      <c r="F61" t="s">
        <v>138</v>
      </c>
      <c r="G61" t="s">
        <v>141</v>
      </c>
      <c r="H61" t="s">
        <v>144</v>
      </c>
      <c r="I61">
        <v>24.3</v>
      </c>
      <c r="J61">
        <v>38.200000000000003</v>
      </c>
      <c r="K61">
        <v>762675.6</v>
      </c>
      <c r="L61">
        <v>14.57</v>
      </c>
      <c r="N61">
        <v>244.4</v>
      </c>
      <c r="O61">
        <v>66.3</v>
      </c>
      <c r="P61">
        <v>25</v>
      </c>
      <c r="Q61">
        <v>2.8</v>
      </c>
      <c r="R61">
        <v>863246.8</v>
      </c>
      <c r="S61">
        <v>13.5</v>
      </c>
      <c r="U61">
        <v>284.2</v>
      </c>
      <c r="V61">
        <v>54.6</v>
      </c>
      <c r="W61">
        <v>24.1</v>
      </c>
      <c r="X61">
        <v>11.4</v>
      </c>
      <c r="Y61">
        <v>692457.2</v>
      </c>
      <c r="Z61">
        <v>12.8</v>
      </c>
      <c r="AB61">
        <v>226.3</v>
      </c>
      <c r="AC61">
        <v>63.8</v>
      </c>
      <c r="AD61">
        <v>21</v>
      </c>
      <c r="AE61">
        <v>90</v>
      </c>
      <c r="AF61">
        <v>478562.7</v>
      </c>
      <c r="AG61">
        <v>10.33</v>
      </c>
      <c r="AI61">
        <v>146.80000000000001</v>
      </c>
      <c r="AJ61">
        <v>68.099999999999994</v>
      </c>
      <c r="AK61">
        <v>16.3</v>
      </c>
      <c r="AL61">
        <v>50</v>
      </c>
      <c r="AM61">
        <v>344416</v>
      </c>
      <c r="AN61">
        <v>8.9499999999999993</v>
      </c>
      <c r="AP61">
        <v>90.1</v>
      </c>
      <c r="AQ61">
        <v>70.599999999999994</v>
      </c>
      <c r="AR61">
        <v>13.8</v>
      </c>
      <c r="AS61">
        <v>96.6</v>
      </c>
      <c r="AT61">
        <v>220870</v>
      </c>
      <c r="AU61">
        <v>9.0299999999999994</v>
      </c>
      <c r="AW61">
        <v>52.6</v>
      </c>
      <c r="AX61">
        <v>76.900000000000006</v>
      </c>
      <c r="AY61">
        <v>12.9</v>
      </c>
      <c r="AZ61">
        <v>108.8</v>
      </c>
      <c r="BA61">
        <v>375204.9</v>
      </c>
      <c r="BB61">
        <v>10.62</v>
      </c>
      <c r="BD61">
        <v>83.8</v>
      </c>
      <c r="BE61">
        <v>76.900000000000006</v>
      </c>
      <c r="BF61">
        <v>12.8</v>
      </c>
      <c r="BG61">
        <v>116.6</v>
      </c>
      <c r="BH61">
        <v>472913.6</v>
      </c>
      <c r="BI61">
        <v>8.8800000000000008</v>
      </c>
      <c r="BK61">
        <v>100.5</v>
      </c>
      <c r="BL61">
        <v>77.400000000000006</v>
      </c>
      <c r="BM61">
        <v>13.1</v>
      </c>
      <c r="BN61">
        <v>17</v>
      </c>
      <c r="BO61">
        <v>616537.80000000005</v>
      </c>
      <c r="BP61">
        <v>8.66</v>
      </c>
      <c r="BR61">
        <v>135.19999999999999</v>
      </c>
      <c r="BS61">
        <v>73.2</v>
      </c>
      <c r="BT61">
        <v>16.8</v>
      </c>
      <c r="BU61">
        <v>19.399999999999999</v>
      </c>
      <c r="BV61">
        <v>817774.1</v>
      </c>
      <c r="BW61">
        <v>9.99</v>
      </c>
      <c r="BY61">
        <v>215.3</v>
      </c>
      <c r="BZ61">
        <v>65.3</v>
      </c>
      <c r="CA61">
        <v>20.9</v>
      </c>
      <c r="CB61">
        <v>3.4</v>
      </c>
      <c r="CC61">
        <v>920956.2</v>
      </c>
      <c r="CD61">
        <v>11.68</v>
      </c>
      <c r="CF61">
        <v>275.89999999999998</v>
      </c>
      <c r="CG61">
        <v>57.2</v>
      </c>
      <c r="CH61">
        <v>22</v>
      </c>
      <c r="CI61">
        <v>1</v>
      </c>
      <c r="CJ61">
        <v>997624.8</v>
      </c>
      <c r="CK61">
        <v>13.28</v>
      </c>
      <c r="CM61">
        <v>300.60000000000002</v>
      </c>
      <c r="CN61">
        <v>58</v>
      </c>
      <c r="CP61" s="3">
        <v>133.12695639999998</v>
      </c>
      <c r="CQ61" s="3">
        <v>265.94031967119787</v>
      </c>
      <c r="CR61" s="3">
        <v>244.36784107392498</v>
      </c>
      <c r="CS61" s="3">
        <v>168.48709864302083</v>
      </c>
      <c r="CT61" s="3">
        <v>219.627445633875</v>
      </c>
      <c r="CU61" s="7">
        <v>0.06</v>
      </c>
      <c r="CV61" s="7">
        <v>0.14000000000000001</v>
      </c>
      <c r="CW61" s="7">
        <v>7.0000000000000007E-2</v>
      </c>
      <c r="CX61" s="7">
        <v>0.04</v>
      </c>
      <c r="CY61" s="3">
        <f t="shared" si="2"/>
        <v>70.747111660987827</v>
      </c>
      <c r="CZ61">
        <v>2387</v>
      </c>
      <c r="DA61">
        <v>1552</v>
      </c>
      <c r="DB61">
        <v>722700</v>
      </c>
      <c r="DC61">
        <v>2010</v>
      </c>
      <c r="DE61" t="s">
        <v>147</v>
      </c>
      <c r="DK61" s="5">
        <v>4317.9902231285987</v>
      </c>
      <c r="DM61" s="5">
        <v>1740.4167822468792</v>
      </c>
    </row>
    <row r="62" spans="1:117" x14ac:dyDescent="0.25">
      <c r="A62" t="s">
        <v>103</v>
      </c>
      <c r="B62" t="s">
        <v>121</v>
      </c>
      <c r="C62">
        <v>114.99716100000001</v>
      </c>
      <c r="D62">
        <v>-29.063611999999999</v>
      </c>
      <c r="E62">
        <v>2017</v>
      </c>
      <c r="F62" t="s">
        <v>138</v>
      </c>
      <c r="G62" t="s">
        <v>141</v>
      </c>
      <c r="H62" t="s">
        <v>144</v>
      </c>
      <c r="I62">
        <v>24.7</v>
      </c>
      <c r="J62">
        <v>43.6</v>
      </c>
      <c r="K62">
        <v>928009.2</v>
      </c>
      <c r="L62">
        <v>12.89</v>
      </c>
      <c r="N62">
        <v>301.39999999999998</v>
      </c>
      <c r="O62">
        <v>57.5</v>
      </c>
      <c r="P62">
        <v>25.3</v>
      </c>
      <c r="Q62">
        <v>17</v>
      </c>
      <c r="R62">
        <v>711119.2</v>
      </c>
      <c r="S62">
        <v>12.1</v>
      </c>
      <c r="U62">
        <v>217.5</v>
      </c>
      <c r="V62">
        <v>67.7</v>
      </c>
      <c r="W62">
        <v>23</v>
      </c>
      <c r="X62">
        <v>11.8</v>
      </c>
      <c r="Y62">
        <v>696846.7</v>
      </c>
      <c r="Z62">
        <v>10.95</v>
      </c>
      <c r="AB62">
        <v>215.3</v>
      </c>
      <c r="AC62">
        <v>63.9</v>
      </c>
      <c r="AD62">
        <v>21.5</v>
      </c>
      <c r="AE62">
        <v>1.6</v>
      </c>
      <c r="AF62">
        <v>574612.1</v>
      </c>
      <c r="AG62">
        <v>10.6</v>
      </c>
      <c r="AI62">
        <v>195.6</v>
      </c>
      <c r="AJ62">
        <v>54.3</v>
      </c>
      <c r="AK62">
        <v>18</v>
      </c>
      <c r="AL62">
        <v>35.4</v>
      </c>
      <c r="AM62">
        <v>443314.7</v>
      </c>
      <c r="AN62">
        <v>8.7899999999999991</v>
      </c>
      <c r="AP62">
        <v>134.69999999999999</v>
      </c>
      <c r="AQ62">
        <v>61.6</v>
      </c>
      <c r="AR62">
        <v>16.2</v>
      </c>
      <c r="AS62">
        <v>36.6</v>
      </c>
      <c r="AT62">
        <v>391218.1</v>
      </c>
      <c r="AU62">
        <v>10.25</v>
      </c>
      <c r="AW62">
        <v>127.5</v>
      </c>
      <c r="AX62">
        <v>56.1</v>
      </c>
      <c r="AY62">
        <v>14.2</v>
      </c>
      <c r="AZ62">
        <v>90</v>
      </c>
      <c r="BA62">
        <v>350141.1</v>
      </c>
      <c r="BB62">
        <v>9.59</v>
      </c>
      <c r="BD62">
        <v>78.8</v>
      </c>
      <c r="BE62">
        <v>76.900000000000006</v>
      </c>
      <c r="BF62">
        <v>13.7</v>
      </c>
      <c r="BG62">
        <v>105.8</v>
      </c>
      <c r="BH62">
        <v>466038.8</v>
      </c>
      <c r="BI62">
        <v>8.9600000000000009</v>
      </c>
      <c r="BK62">
        <v>100.1</v>
      </c>
      <c r="BL62">
        <v>78</v>
      </c>
      <c r="BM62">
        <v>15.5</v>
      </c>
      <c r="BN62">
        <v>62</v>
      </c>
      <c r="BO62">
        <v>528925.5</v>
      </c>
      <c r="BP62">
        <v>8.34</v>
      </c>
      <c r="BR62">
        <v>124.8</v>
      </c>
      <c r="BS62">
        <v>74.3</v>
      </c>
      <c r="BT62">
        <v>17.7</v>
      </c>
      <c r="BU62">
        <v>10</v>
      </c>
      <c r="BV62">
        <v>745911.2</v>
      </c>
      <c r="BW62">
        <v>10.53</v>
      </c>
      <c r="BY62">
        <v>201.5</v>
      </c>
      <c r="BZ62">
        <v>65.400000000000006</v>
      </c>
      <c r="CA62">
        <v>22.1</v>
      </c>
      <c r="CB62">
        <v>5.2</v>
      </c>
      <c r="CC62">
        <v>794375.6</v>
      </c>
      <c r="CD62">
        <v>12.3</v>
      </c>
      <c r="CF62">
        <v>243.7</v>
      </c>
      <c r="CG62">
        <v>60.7</v>
      </c>
      <c r="CH62">
        <v>23.5</v>
      </c>
      <c r="CI62">
        <v>15.8</v>
      </c>
      <c r="CJ62">
        <v>922235.2</v>
      </c>
      <c r="CK62">
        <v>11.77</v>
      </c>
      <c r="CM62">
        <v>284.3</v>
      </c>
      <c r="CN62">
        <v>58.9</v>
      </c>
      <c r="CP62" s="3">
        <v>119.07146077499999</v>
      </c>
      <c r="CQ62" s="3">
        <v>235.14453102913441</v>
      </c>
      <c r="CR62" s="3">
        <v>211.74875985799997</v>
      </c>
      <c r="CS62" s="3">
        <v>150.26687985202918</v>
      </c>
      <c r="CT62" s="3">
        <v>166.58352970400003</v>
      </c>
      <c r="CU62" s="7">
        <v>0.06</v>
      </c>
      <c r="CV62" s="7">
        <v>0.14000000000000001</v>
      </c>
      <c r="CW62" s="7">
        <v>7.0000000000000007E-2</v>
      </c>
      <c r="CX62" s="7">
        <v>0.04</v>
      </c>
      <c r="CY62" s="3">
        <f t="shared" si="2"/>
        <v>60.935521019670105</v>
      </c>
      <c r="CZ62">
        <v>2361</v>
      </c>
      <c r="DA62">
        <v>1647</v>
      </c>
      <c r="DB62">
        <v>796380</v>
      </c>
      <c r="DC62">
        <v>2368</v>
      </c>
      <c r="DE62" t="s">
        <v>147</v>
      </c>
      <c r="DK62" s="5">
        <v>4270.9572336852207</v>
      </c>
      <c r="DM62" s="5">
        <v>1846.9500260055479</v>
      </c>
    </row>
    <row r="63" spans="1:117" x14ac:dyDescent="0.25">
      <c r="A63" t="s">
        <v>103</v>
      </c>
      <c r="B63" t="s">
        <v>121</v>
      </c>
      <c r="C63">
        <v>114.99716100000001</v>
      </c>
      <c r="D63">
        <v>-29.063611999999999</v>
      </c>
      <c r="E63">
        <v>2018</v>
      </c>
      <c r="F63" t="s">
        <v>138</v>
      </c>
      <c r="G63" t="s">
        <v>141</v>
      </c>
      <c r="H63" t="s">
        <v>144</v>
      </c>
      <c r="I63">
        <v>24.2</v>
      </c>
      <c r="J63">
        <v>19.399999999999999</v>
      </c>
      <c r="K63">
        <v>902907.5</v>
      </c>
      <c r="L63">
        <v>12.65</v>
      </c>
      <c r="N63">
        <v>278.5</v>
      </c>
      <c r="O63">
        <v>63.2</v>
      </c>
      <c r="P63">
        <v>23</v>
      </c>
      <c r="Q63">
        <v>2.6</v>
      </c>
      <c r="R63">
        <v>781018</v>
      </c>
      <c r="S63">
        <v>9.89</v>
      </c>
      <c r="U63">
        <v>223.7</v>
      </c>
      <c r="V63">
        <v>67.400000000000006</v>
      </c>
      <c r="W63">
        <v>25.3</v>
      </c>
      <c r="X63">
        <v>1</v>
      </c>
      <c r="Y63">
        <v>680047.2</v>
      </c>
      <c r="Z63">
        <v>12.23</v>
      </c>
      <c r="AB63">
        <v>237.2</v>
      </c>
      <c r="AC63">
        <v>57.4</v>
      </c>
      <c r="AD63">
        <v>20.6</v>
      </c>
      <c r="AE63">
        <v>0.2</v>
      </c>
      <c r="AF63">
        <v>577552.19999999995</v>
      </c>
      <c r="AG63">
        <v>10.62</v>
      </c>
      <c r="AI63">
        <v>176.7</v>
      </c>
      <c r="AJ63">
        <v>63.4</v>
      </c>
      <c r="AK63">
        <v>18.899999999999999</v>
      </c>
      <c r="AL63">
        <v>57.2</v>
      </c>
      <c r="AM63">
        <v>452963.5</v>
      </c>
      <c r="AN63">
        <v>12.63</v>
      </c>
      <c r="AP63">
        <v>176.8</v>
      </c>
      <c r="AQ63">
        <v>47.8</v>
      </c>
      <c r="AR63">
        <v>14.9</v>
      </c>
      <c r="AS63">
        <v>56.4</v>
      </c>
      <c r="AT63">
        <v>347964.1</v>
      </c>
      <c r="AU63">
        <v>9.8699999999999992</v>
      </c>
      <c r="AW63">
        <v>90.5</v>
      </c>
      <c r="AX63">
        <v>69.5</v>
      </c>
      <c r="AY63">
        <v>14.4</v>
      </c>
      <c r="AZ63">
        <v>139</v>
      </c>
      <c r="BA63">
        <v>350757.8</v>
      </c>
      <c r="BB63">
        <v>10.63</v>
      </c>
      <c r="BD63">
        <v>81</v>
      </c>
      <c r="BE63">
        <v>76.3</v>
      </c>
      <c r="BF63">
        <v>13.4</v>
      </c>
      <c r="BG63">
        <v>115.2</v>
      </c>
      <c r="BH63">
        <v>468589.5</v>
      </c>
      <c r="BI63">
        <v>11.26</v>
      </c>
      <c r="BK63">
        <v>106.7</v>
      </c>
      <c r="BL63">
        <v>75.7</v>
      </c>
      <c r="BM63">
        <v>14.9</v>
      </c>
      <c r="BN63">
        <v>9.8000000000000007</v>
      </c>
      <c r="BO63">
        <v>646666.69999999995</v>
      </c>
      <c r="BP63">
        <v>9.23</v>
      </c>
      <c r="BR63">
        <v>155.80000000000001</v>
      </c>
      <c r="BS63">
        <v>72</v>
      </c>
      <c r="BT63">
        <v>17.8</v>
      </c>
      <c r="BU63">
        <v>6.8</v>
      </c>
      <c r="BV63">
        <v>763515.7</v>
      </c>
      <c r="BW63">
        <v>10.84</v>
      </c>
      <c r="BY63">
        <v>194.4</v>
      </c>
      <c r="BZ63">
        <v>73.3</v>
      </c>
      <c r="CA63">
        <v>18.899999999999999</v>
      </c>
      <c r="CB63">
        <v>3.6</v>
      </c>
      <c r="CC63">
        <v>852687.2</v>
      </c>
      <c r="CD63">
        <v>12.46</v>
      </c>
      <c r="CF63">
        <v>233.4</v>
      </c>
      <c r="CG63">
        <v>64.2</v>
      </c>
      <c r="CH63">
        <v>22.1</v>
      </c>
      <c r="CI63">
        <v>6.2</v>
      </c>
      <c r="CJ63">
        <v>880282.7</v>
      </c>
      <c r="CK63">
        <v>13.36</v>
      </c>
      <c r="CM63">
        <v>266.5</v>
      </c>
      <c r="CN63">
        <v>61.9</v>
      </c>
      <c r="CP63" s="3">
        <v>149.45420497500001</v>
      </c>
      <c r="CQ63" s="3">
        <v>274.57347051901041</v>
      </c>
      <c r="CR63" s="3">
        <v>237.4236465424917</v>
      </c>
      <c r="CS63" s="3">
        <v>174.41377918435418</v>
      </c>
      <c r="CT63" s="3">
        <v>166.56083829114584</v>
      </c>
      <c r="CU63" s="7">
        <v>0.06</v>
      </c>
      <c r="CV63" s="7">
        <v>0.14000000000000001</v>
      </c>
      <c r="CW63" s="7">
        <v>7.0000000000000007E-2</v>
      </c>
      <c r="CX63" s="7">
        <v>0.04</v>
      </c>
      <c r="CY63" s="3">
        <f t="shared" si="2"/>
        <v>68.585116821640085</v>
      </c>
      <c r="CZ63">
        <v>1848</v>
      </c>
      <c r="DA63">
        <v>1507</v>
      </c>
      <c r="DB63">
        <v>721140</v>
      </c>
      <c r="DC63">
        <v>1837</v>
      </c>
      <c r="DE63" t="s">
        <v>147</v>
      </c>
      <c r="DK63" s="5">
        <v>3342.9601727447216</v>
      </c>
      <c r="DM63" s="5">
        <v>1689.9536667822467</v>
      </c>
    </row>
    <row r="64" spans="1:117" x14ac:dyDescent="0.25">
      <c r="A64" t="s">
        <v>103</v>
      </c>
      <c r="B64" t="s">
        <v>121</v>
      </c>
      <c r="C64">
        <v>114.99716100000001</v>
      </c>
      <c r="D64">
        <v>-29.063611999999999</v>
      </c>
      <c r="E64">
        <v>2019</v>
      </c>
      <c r="F64" t="s">
        <v>138</v>
      </c>
      <c r="G64" t="s">
        <v>141</v>
      </c>
      <c r="H64" t="s">
        <v>144</v>
      </c>
      <c r="I64">
        <v>23.2</v>
      </c>
      <c r="J64">
        <v>0.6</v>
      </c>
      <c r="K64">
        <v>957703.8</v>
      </c>
      <c r="L64">
        <v>14.18</v>
      </c>
      <c r="N64">
        <v>297.60000000000002</v>
      </c>
      <c r="O64">
        <v>60.7</v>
      </c>
      <c r="P64">
        <v>23.9</v>
      </c>
      <c r="Q64">
        <v>0.4</v>
      </c>
      <c r="R64">
        <v>806809.3</v>
      </c>
      <c r="S64">
        <v>13.2</v>
      </c>
      <c r="U64">
        <v>256.8</v>
      </c>
      <c r="V64">
        <v>63</v>
      </c>
      <c r="W64">
        <v>24.2</v>
      </c>
      <c r="X64">
        <v>0</v>
      </c>
      <c r="Y64">
        <v>553201.80000000005</v>
      </c>
      <c r="Z64">
        <v>12.02</v>
      </c>
      <c r="AB64">
        <v>193.8</v>
      </c>
      <c r="AC64">
        <v>59.7</v>
      </c>
      <c r="AD64">
        <v>20.5</v>
      </c>
      <c r="AE64">
        <v>18.399999999999999</v>
      </c>
      <c r="AF64">
        <v>536132</v>
      </c>
      <c r="AG64">
        <v>11.56</v>
      </c>
      <c r="AI64">
        <v>179.7</v>
      </c>
      <c r="AJ64">
        <v>57</v>
      </c>
      <c r="AK64">
        <v>17.7</v>
      </c>
      <c r="AL64">
        <v>0.6</v>
      </c>
      <c r="AM64">
        <v>455788</v>
      </c>
      <c r="AN64">
        <v>12.04</v>
      </c>
      <c r="AP64">
        <v>163</v>
      </c>
      <c r="AQ64">
        <v>52.1</v>
      </c>
      <c r="AR64">
        <v>15.2</v>
      </c>
      <c r="AS64">
        <v>227.2</v>
      </c>
      <c r="AT64">
        <v>338110.4</v>
      </c>
      <c r="AU64">
        <v>12.69</v>
      </c>
      <c r="AW64">
        <v>109.4</v>
      </c>
      <c r="AX64">
        <v>64.099999999999994</v>
      </c>
      <c r="AY64">
        <v>14.4</v>
      </c>
      <c r="AZ64">
        <v>51</v>
      </c>
      <c r="BA64">
        <v>423327.8</v>
      </c>
      <c r="BB64">
        <v>9.7200000000000006</v>
      </c>
      <c r="BD64">
        <v>106.6</v>
      </c>
      <c r="BE64">
        <v>69.3</v>
      </c>
      <c r="BF64">
        <v>15</v>
      </c>
      <c r="BG64">
        <v>59.8</v>
      </c>
      <c r="BH64">
        <v>521794.2</v>
      </c>
      <c r="BI64">
        <v>11.55</v>
      </c>
      <c r="BK64">
        <v>148.30000000000001</v>
      </c>
      <c r="BL64">
        <v>64.2</v>
      </c>
      <c r="BM64">
        <v>16.5</v>
      </c>
      <c r="BN64">
        <v>10</v>
      </c>
      <c r="BO64">
        <v>673587.3</v>
      </c>
      <c r="BP64">
        <v>9.7899999999999991</v>
      </c>
      <c r="BR64">
        <v>175.1</v>
      </c>
      <c r="BS64">
        <v>67.400000000000006</v>
      </c>
      <c r="BT64">
        <v>18.5</v>
      </c>
      <c r="BU64">
        <v>17.8</v>
      </c>
      <c r="BV64">
        <v>817251.2</v>
      </c>
      <c r="BW64">
        <v>12.36</v>
      </c>
      <c r="BY64">
        <v>229.1</v>
      </c>
      <c r="BZ64">
        <v>67</v>
      </c>
      <c r="CA64">
        <v>22.5</v>
      </c>
      <c r="CB64">
        <v>3.8</v>
      </c>
      <c r="CC64">
        <v>912785.4</v>
      </c>
      <c r="CD64">
        <v>14.83</v>
      </c>
      <c r="CF64">
        <v>297.7</v>
      </c>
      <c r="CG64">
        <v>54.5</v>
      </c>
      <c r="CH64">
        <v>24.9</v>
      </c>
      <c r="CI64">
        <v>0.6</v>
      </c>
      <c r="CJ64">
        <v>984070.6</v>
      </c>
      <c r="CK64">
        <v>13.86</v>
      </c>
      <c r="CM64">
        <v>324.60000000000002</v>
      </c>
      <c r="CN64">
        <v>56.3</v>
      </c>
      <c r="CP64" s="3">
        <v>151.20769046666666</v>
      </c>
      <c r="CQ64" s="3">
        <v>267.33967790703502</v>
      </c>
      <c r="CR64" s="3">
        <v>246.94953969827165</v>
      </c>
      <c r="CS64" s="3">
        <v>186.82042264949916</v>
      </c>
      <c r="CT64" s="3">
        <v>164.67061180174997</v>
      </c>
      <c r="CU64" s="7">
        <v>0.06</v>
      </c>
      <c r="CV64" s="7">
        <v>0.14000000000000001</v>
      </c>
      <c r="CW64" s="7">
        <v>7.0000000000000007E-2</v>
      </c>
      <c r="CX64" s="7">
        <v>0.04</v>
      </c>
      <c r="CY64" s="3">
        <f t="shared" si="2"/>
        <v>70.277570289715072</v>
      </c>
      <c r="CZ64">
        <v>3132</v>
      </c>
      <c r="DA64">
        <v>1716</v>
      </c>
      <c r="DB64">
        <v>1037670</v>
      </c>
      <c r="DC64">
        <v>2915</v>
      </c>
      <c r="DE64" t="s">
        <v>147</v>
      </c>
      <c r="DK64" s="5">
        <v>5665.6662667946257</v>
      </c>
      <c r="DM64" s="5">
        <v>1924.3268030513175</v>
      </c>
    </row>
    <row r="65" spans="1:117" x14ac:dyDescent="0.25">
      <c r="A65" t="s">
        <v>103</v>
      </c>
      <c r="B65" t="s">
        <v>121</v>
      </c>
      <c r="C65">
        <v>114.99716100000001</v>
      </c>
      <c r="D65">
        <v>-29.063611999999999</v>
      </c>
      <c r="E65">
        <v>2020</v>
      </c>
      <c r="F65" t="s">
        <v>138</v>
      </c>
      <c r="G65" t="s">
        <v>141</v>
      </c>
      <c r="H65" t="s">
        <v>144</v>
      </c>
      <c r="I65">
        <v>23.9</v>
      </c>
      <c r="J65">
        <v>0.6</v>
      </c>
      <c r="K65">
        <v>954729.6</v>
      </c>
      <c r="L65">
        <v>15.7</v>
      </c>
      <c r="N65">
        <v>309.8</v>
      </c>
      <c r="O65">
        <v>57.7</v>
      </c>
      <c r="P65">
        <v>25.6</v>
      </c>
      <c r="Q65">
        <v>75.8</v>
      </c>
      <c r="R65">
        <v>713346.2</v>
      </c>
      <c r="S65">
        <v>14.14</v>
      </c>
      <c r="U65">
        <v>239.7</v>
      </c>
      <c r="V65">
        <v>63.5</v>
      </c>
      <c r="W65">
        <v>24.2</v>
      </c>
      <c r="X65">
        <v>5.4</v>
      </c>
      <c r="Y65">
        <v>585563</v>
      </c>
      <c r="Z65">
        <v>12.33</v>
      </c>
      <c r="AB65">
        <v>205.9</v>
      </c>
      <c r="AC65">
        <v>58.7</v>
      </c>
      <c r="AD65">
        <v>21.1</v>
      </c>
      <c r="AE65">
        <v>4.5999999999999996</v>
      </c>
      <c r="AF65">
        <v>397376.6</v>
      </c>
      <c r="AG65">
        <v>9.31</v>
      </c>
      <c r="AI65">
        <v>130.30000000000001</v>
      </c>
      <c r="AJ65">
        <v>62.7</v>
      </c>
      <c r="AK65">
        <v>17.7</v>
      </c>
      <c r="AL65">
        <v>56.4</v>
      </c>
      <c r="AM65">
        <v>316170.59999999998</v>
      </c>
      <c r="AN65">
        <v>12.09</v>
      </c>
      <c r="AP65">
        <v>131.80000000000001</v>
      </c>
      <c r="AQ65">
        <v>55.6</v>
      </c>
      <c r="AR65">
        <v>17.100000000000001</v>
      </c>
      <c r="AS65">
        <v>83.6</v>
      </c>
      <c r="AT65">
        <v>322723</v>
      </c>
      <c r="AU65">
        <v>11.73</v>
      </c>
      <c r="AW65">
        <v>109.4</v>
      </c>
      <c r="AX65">
        <v>60.7</v>
      </c>
      <c r="AY65">
        <v>14.9</v>
      </c>
      <c r="AZ65">
        <v>45.4</v>
      </c>
      <c r="BA65">
        <v>232612.6</v>
      </c>
      <c r="BB65">
        <v>11.19</v>
      </c>
      <c r="BD65">
        <v>74.5</v>
      </c>
      <c r="BE65">
        <v>68.900000000000006</v>
      </c>
      <c r="BF65">
        <v>14.4</v>
      </c>
      <c r="BG65">
        <v>128.80000000000001</v>
      </c>
      <c r="BH65">
        <v>436315.2</v>
      </c>
      <c r="BI65">
        <v>10.62</v>
      </c>
      <c r="BK65">
        <v>104.4</v>
      </c>
      <c r="BL65">
        <v>73</v>
      </c>
      <c r="BM65">
        <v>16.3</v>
      </c>
      <c r="BN65">
        <v>21.2</v>
      </c>
      <c r="BO65">
        <v>631148</v>
      </c>
      <c r="BP65">
        <v>11.1</v>
      </c>
      <c r="BR65">
        <v>165.6</v>
      </c>
      <c r="BS65">
        <v>67.400000000000006</v>
      </c>
      <c r="BT65">
        <v>18.600000000000001</v>
      </c>
      <c r="BU65">
        <v>2.6</v>
      </c>
      <c r="BV65">
        <v>782907.6</v>
      </c>
      <c r="BW65">
        <v>12.51</v>
      </c>
      <c r="BY65">
        <v>226.4</v>
      </c>
      <c r="BZ65">
        <v>64</v>
      </c>
      <c r="CA65">
        <v>19.600000000000001</v>
      </c>
      <c r="CB65">
        <v>38.200000000000003</v>
      </c>
      <c r="CC65">
        <v>850302.3</v>
      </c>
      <c r="CD65">
        <v>14.18</v>
      </c>
      <c r="CF65">
        <v>240.8</v>
      </c>
      <c r="CG65">
        <v>64.8</v>
      </c>
      <c r="CH65">
        <v>24.1</v>
      </c>
      <c r="CI65">
        <v>0.8</v>
      </c>
      <c r="CJ65">
        <v>1012074.2</v>
      </c>
      <c r="CK65">
        <v>15.94</v>
      </c>
      <c r="CM65">
        <v>339.8</v>
      </c>
      <c r="CN65">
        <v>54.6</v>
      </c>
      <c r="CP65" s="3">
        <v>137.12151142499999</v>
      </c>
      <c r="CQ65" s="3">
        <v>183.94377395835087</v>
      </c>
      <c r="CR65" s="3">
        <v>171.50265380089249</v>
      </c>
      <c r="CS65" s="3">
        <v>153.47587761539251</v>
      </c>
      <c r="CT65" s="3">
        <v>168.62831412656331</v>
      </c>
      <c r="CU65" s="7">
        <v>0.06</v>
      </c>
      <c r="CV65" s="7">
        <v>0.14000000000000001</v>
      </c>
      <c r="CW65" s="7">
        <v>7.0000000000000007E-2</v>
      </c>
      <c r="CX65" s="7">
        <v>0.04</v>
      </c>
      <c r="CY65" s="3">
        <f t="shared" si="2"/>
        <v>52.535441967766019</v>
      </c>
      <c r="CZ65">
        <v>1591</v>
      </c>
      <c r="DA65">
        <v>1677</v>
      </c>
      <c r="DB65">
        <v>864980</v>
      </c>
      <c r="DC65">
        <v>1861</v>
      </c>
      <c r="DE65" t="s">
        <v>147</v>
      </c>
      <c r="DK65" s="5">
        <v>2878.0571617082533</v>
      </c>
      <c r="DM65" s="5">
        <v>1880.5921029819694</v>
      </c>
    </row>
    <row r="66" spans="1:117" x14ac:dyDescent="0.25">
      <c r="A66" t="s">
        <v>104</v>
      </c>
      <c r="B66" t="s">
        <v>122</v>
      </c>
      <c r="C66">
        <v>117.611931</v>
      </c>
      <c r="D66">
        <v>-33.683084999999998</v>
      </c>
      <c r="E66">
        <v>2013</v>
      </c>
      <c r="F66" t="s">
        <v>122</v>
      </c>
      <c r="G66" t="s">
        <v>139</v>
      </c>
      <c r="H66" t="s">
        <v>142</v>
      </c>
      <c r="I66">
        <v>21.5</v>
      </c>
      <c r="J66">
        <v>29.6</v>
      </c>
      <c r="K66">
        <v>862766.5</v>
      </c>
      <c r="L66">
        <v>13.89</v>
      </c>
      <c r="M66">
        <v>28.9</v>
      </c>
      <c r="N66">
        <v>267.39999999999998</v>
      </c>
      <c r="O66">
        <v>56.7</v>
      </c>
      <c r="P66">
        <v>21.7</v>
      </c>
      <c r="Q66">
        <v>2.2000000000000002</v>
      </c>
      <c r="R66">
        <v>731050.2</v>
      </c>
      <c r="S66">
        <v>13.75</v>
      </c>
      <c r="T66">
        <v>29.4</v>
      </c>
      <c r="U66">
        <v>233.2</v>
      </c>
      <c r="V66">
        <v>54.6</v>
      </c>
      <c r="W66">
        <v>17.100000000000001</v>
      </c>
      <c r="X66">
        <v>58.4</v>
      </c>
      <c r="Y66">
        <v>512793.8</v>
      </c>
      <c r="Z66">
        <v>11.09</v>
      </c>
      <c r="AA66">
        <v>22.8</v>
      </c>
      <c r="AB66">
        <v>136.1</v>
      </c>
      <c r="AC66">
        <v>71.2</v>
      </c>
      <c r="AD66">
        <v>17.8</v>
      </c>
      <c r="AE66">
        <v>7</v>
      </c>
      <c r="AF66">
        <v>379930.4</v>
      </c>
      <c r="AG66">
        <v>8.42</v>
      </c>
      <c r="AH66">
        <v>21.1</v>
      </c>
      <c r="AI66">
        <v>103.3</v>
      </c>
      <c r="AJ66">
        <v>71.5</v>
      </c>
      <c r="AK66">
        <v>12.9</v>
      </c>
      <c r="AL66">
        <v>62.6</v>
      </c>
      <c r="AM66">
        <v>213896.7</v>
      </c>
      <c r="AN66">
        <v>7.73</v>
      </c>
      <c r="AO66">
        <v>3.7</v>
      </c>
      <c r="AP66">
        <v>47.1</v>
      </c>
      <c r="AQ66">
        <v>82.1</v>
      </c>
      <c r="AR66">
        <v>10.9</v>
      </c>
      <c r="AS66">
        <v>19.2</v>
      </c>
      <c r="AT66">
        <v>277168.09999999998</v>
      </c>
      <c r="AU66">
        <v>7.52</v>
      </c>
      <c r="AV66">
        <v>12</v>
      </c>
      <c r="AW66">
        <v>50.6</v>
      </c>
      <c r="AX66">
        <v>82.5</v>
      </c>
      <c r="AY66">
        <v>9.6999999999999993</v>
      </c>
      <c r="AZ66">
        <v>58.8</v>
      </c>
      <c r="BA66">
        <v>296178.5</v>
      </c>
      <c r="BB66">
        <v>8.6199999999999992</v>
      </c>
      <c r="BC66">
        <v>10.6</v>
      </c>
      <c r="BD66">
        <v>54.9</v>
      </c>
      <c r="BE66">
        <v>82.5</v>
      </c>
      <c r="BF66">
        <v>11.7</v>
      </c>
      <c r="BG66">
        <v>76.400000000000006</v>
      </c>
      <c r="BH66">
        <v>362898.4</v>
      </c>
      <c r="BI66">
        <v>10.85</v>
      </c>
      <c r="BJ66">
        <v>12.9</v>
      </c>
      <c r="BK66">
        <v>67.5</v>
      </c>
      <c r="BL66">
        <v>85.8</v>
      </c>
      <c r="BM66">
        <v>12</v>
      </c>
      <c r="BN66">
        <v>107.8</v>
      </c>
      <c r="BO66">
        <v>480532.3</v>
      </c>
      <c r="BP66">
        <v>13.12</v>
      </c>
      <c r="BQ66">
        <v>14.1</v>
      </c>
      <c r="BR66">
        <v>99.7</v>
      </c>
      <c r="BS66">
        <v>81.900000000000006</v>
      </c>
      <c r="BT66">
        <v>14.1</v>
      </c>
      <c r="BU66">
        <v>27.8</v>
      </c>
      <c r="BV66">
        <v>709320.1</v>
      </c>
      <c r="BW66">
        <v>10.24</v>
      </c>
      <c r="BX66">
        <v>18.8</v>
      </c>
      <c r="BY66">
        <v>165.3</v>
      </c>
      <c r="BZ66">
        <v>73.7</v>
      </c>
      <c r="CA66">
        <v>18.2</v>
      </c>
      <c r="CB66">
        <v>2.2000000000000002</v>
      </c>
      <c r="CC66">
        <v>787755.2</v>
      </c>
      <c r="CD66">
        <v>13.96</v>
      </c>
      <c r="CE66">
        <v>24.7</v>
      </c>
      <c r="CF66">
        <v>225.9</v>
      </c>
      <c r="CG66">
        <v>59.6</v>
      </c>
      <c r="CH66">
        <v>19.899999999999999</v>
      </c>
      <c r="CI66">
        <v>1.8</v>
      </c>
      <c r="CJ66">
        <v>929476.3</v>
      </c>
      <c r="CK66">
        <v>11.6</v>
      </c>
      <c r="CL66">
        <v>28.1</v>
      </c>
      <c r="CM66">
        <v>266.60000000000002</v>
      </c>
      <c r="CN66">
        <v>55</v>
      </c>
      <c r="CP66" s="3">
        <v>344.25478384166667</v>
      </c>
      <c r="CQ66" s="3">
        <v>485.1324771412531</v>
      </c>
      <c r="CR66" s="3">
        <v>453.99912920229173</v>
      </c>
      <c r="CS66" s="3">
        <v>379.15555696741984</v>
      </c>
      <c r="CT66" s="3">
        <v>431.36433691804177</v>
      </c>
      <c r="CU66" s="7">
        <v>0.06</v>
      </c>
      <c r="CV66" s="7">
        <v>0.14000000000000001</v>
      </c>
      <c r="CW66" s="7">
        <v>7.0000000000000007E-2</v>
      </c>
      <c r="CX66" s="7">
        <v>0.04</v>
      </c>
      <c r="CY66" s="3">
        <f t="shared" si="2"/>
        <v>136.46328918123712</v>
      </c>
      <c r="CZ66">
        <v>1016</v>
      </c>
      <c r="DA66">
        <v>696</v>
      </c>
      <c r="DB66">
        <v>453990</v>
      </c>
      <c r="DC66">
        <v>1009</v>
      </c>
      <c r="DE66" t="s">
        <v>146</v>
      </c>
      <c r="DK66" s="5">
        <v>650.14499104993524</v>
      </c>
      <c r="DM66" s="5">
        <v>395.60511638283634</v>
      </c>
    </row>
    <row r="67" spans="1:117" x14ac:dyDescent="0.25">
      <c r="A67" t="s">
        <v>104</v>
      </c>
      <c r="B67" t="s">
        <v>122</v>
      </c>
      <c r="C67">
        <v>117.611931</v>
      </c>
      <c r="D67">
        <v>-33.683084999999998</v>
      </c>
      <c r="E67">
        <v>2014</v>
      </c>
      <c r="F67" t="s">
        <v>122</v>
      </c>
      <c r="G67" t="s">
        <v>139</v>
      </c>
      <c r="H67" t="s">
        <v>142</v>
      </c>
      <c r="I67">
        <v>22</v>
      </c>
      <c r="J67">
        <v>14</v>
      </c>
      <c r="K67">
        <v>966747.6</v>
      </c>
      <c r="L67">
        <v>12.52</v>
      </c>
      <c r="M67">
        <v>31.1</v>
      </c>
      <c r="N67">
        <v>298.3</v>
      </c>
      <c r="O67">
        <v>54.3</v>
      </c>
      <c r="P67">
        <v>20.5</v>
      </c>
      <c r="Q67">
        <v>0</v>
      </c>
      <c r="R67">
        <v>779002.5</v>
      </c>
      <c r="S67">
        <v>13.07</v>
      </c>
      <c r="T67">
        <v>29.1</v>
      </c>
      <c r="U67">
        <v>233.6</v>
      </c>
      <c r="V67">
        <v>56.3</v>
      </c>
      <c r="W67">
        <v>19.8</v>
      </c>
      <c r="X67">
        <v>1.4</v>
      </c>
      <c r="Y67">
        <v>643628.69999999995</v>
      </c>
      <c r="Z67">
        <v>11.21</v>
      </c>
      <c r="AA67">
        <v>26.3</v>
      </c>
      <c r="AB67">
        <v>194.1</v>
      </c>
      <c r="AC67">
        <v>60.1</v>
      </c>
      <c r="AD67">
        <v>17</v>
      </c>
      <c r="AE67">
        <v>20</v>
      </c>
      <c r="AF67">
        <v>486085.6</v>
      </c>
      <c r="AG67">
        <v>7.77</v>
      </c>
      <c r="AH67">
        <v>21.3</v>
      </c>
      <c r="AI67">
        <v>129.4</v>
      </c>
      <c r="AJ67">
        <v>65</v>
      </c>
      <c r="AK67">
        <v>13.8</v>
      </c>
      <c r="AL67">
        <v>93</v>
      </c>
      <c r="AM67">
        <v>271309.2</v>
      </c>
      <c r="AN67">
        <v>9.83</v>
      </c>
      <c r="AO67">
        <v>15.1</v>
      </c>
      <c r="AP67">
        <v>56.2</v>
      </c>
      <c r="AQ67">
        <v>83.3</v>
      </c>
      <c r="AR67">
        <v>10.9</v>
      </c>
      <c r="AS67">
        <v>27.4</v>
      </c>
      <c r="AT67">
        <v>260202.5</v>
      </c>
      <c r="AU67">
        <v>7.88</v>
      </c>
      <c r="AV67">
        <v>11.7</v>
      </c>
      <c r="AW67">
        <v>50.8</v>
      </c>
      <c r="AX67">
        <v>78.099999999999994</v>
      </c>
      <c r="AY67">
        <v>10.199999999999999</v>
      </c>
      <c r="AZ67">
        <v>81</v>
      </c>
      <c r="BA67">
        <v>281259.59999999998</v>
      </c>
      <c r="BB67">
        <v>10.62</v>
      </c>
      <c r="BC67">
        <v>10.6</v>
      </c>
      <c r="BD67">
        <v>52.2</v>
      </c>
      <c r="BE67">
        <v>84</v>
      </c>
      <c r="BF67">
        <v>11.5</v>
      </c>
      <c r="BG67">
        <v>68.8</v>
      </c>
      <c r="BH67">
        <v>383991.6</v>
      </c>
      <c r="BI67">
        <v>7.14</v>
      </c>
      <c r="BJ67">
        <v>12.7</v>
      </c>
      <c r="BK67">
        <v>75.5</v>
      </c>
      <c r="BL67">
        <v>78.8</v>
      </c>
      <c r="BM67">
        <v>12.5</v>
      </c>
      <c r="BN67">
        <v>53</v>
      </c>
      <c r="BO67">
        <v>520007.8</v>
      </c>
      <c r="BP67">
        <v>8.99</v>
      </c>
      <c r="BQ67">
        <v>15.7</v>
      </c>
      <c r="BR67">
        <v>107.5</v>
      </c>
      <c r="BS67">
        <v>79.3</v>
      </c>
      <c r="BT67">
        <v>15</v>
      </c>
      <c r="BU67">
        <v>49</v>
      </c>
      <c r="BV67">
        <v>710565.5</v>
      </c>
      <c r="BW67">
        <v>9.58</v>
      </c>
      <c r="BX67">
        <v>20.5</v>
      </c>
      <c r="BY67">
        <v>163.9</v>
      </c>
      <c r="BZ67">
        <v>71.7</v>
      </c>
      <c r="CA67">
        <v>17.399999999999999</v>
      </c>
      <c r="CB67">
        <v>20</v>
      </c>
      <c r="CC67">
        <v>792694</v>
      </c>
      <c r="CD67">
        <v>10.9</v>
      </c>
      <c r="CE67">
        <v>24.2</v>
      </c>
      <c r="CF67">
        <v>214.2</v>
      </c>
      <c r="CG67">
        <v>60.4</v>
      </c>
      <c r="CH67">
        <v>18.7</v>
      </c>
      <c r="CI67">
        <v>4.8</v>
      </c>
      <c r="CJ67">
        <v>929172.6</v>
      </c>
      <c r="CK67">
        <v>11.87</v>
      </c>
      <c r="CL67">
        <v>27.7</v>
      </c>
      <c r="CM67">
        <v>258.89999999999998</v>
      </c>
      <c r="CN67">
        <v>57.7</v>
      </c>
      <c r="CP67" s="3">
        <v>283.32452813333333</v>
      </c>
      <c r="CQ67" s="3">
        <v>368.2939243092531</v>
      </c>
      <c r="CR67" s="3">
        <v>330.59328943508331</v>
      </c>
      <c r="CS67" s="3">
        <v>279.4513129062604</v>
      </c>
      <c r="CT67" s="3">
        <v>325.40383910199995</v>
      </c>
      <c r="CU67" s="7">
        <v>0.06</v>
      </c>
      <c r="CV67" s="7">
        <v>0.14000000000000001</v>
      </c>
      <c r="CW67" s="7">
        <v>7.0000000000000007E-2</v>
      </c>
      <c r="CX67" s="7">
        <v>0.04</v>
      </c>
      <c r="CY67" s="3">
        <f t="shared" si="2"/>
        <v>100.95844144698508</v>
      </c>
      <c r="CZ67">
        <v>1638</v>
      </c>
      <c r="DA67">
        <v>683</v>
      </c>
      <c r="DB67">
        <v>566200</v>
      </c>
      <c r="DC67">
        <v>1514</v>
      </c>
      <c r="DE67" t="s">
        <v>146</v>
      </c>
      <c r="DK67" s="5">
        <v>1048.1668261218445</v>
      </c>
      <c r="DM67" s="5">
        <v>388.2159403584443</v>
      </c>
    </row>
    <row r="68" spans="1:117" x14ac:dyDescent="0.25">
      <c r="A68" t="s">
        <v>104</v>
      </c>
      <c r="B68" t="s">
        <v>122</v>
      </c>
      <c r="C68">
        <v>117.611931</v>
      </c>
      <c r="D68">
        <v>-33.683084999999998</v>
      </c>
      <c r="E68">
        <v>2015</v>
      </c>
      <c r="F68" t="s">
        <v>122</v>
      </c>
      <c r="G68" t="s">
        <v>139</v>
      </c>
      <c r="H68" t="s">
        <v>142</v>
      </c>
      <c r="I68">
        <v>22.1</v>
      </c>
      <c r="J68">
        <v>1.6</v>
      </c>
      <c r="K68">
        <v>949421.8</v>
      </c>
      <c r="L68">
        <v>13.49</v>
      </c>
      <c r="M68">
        <v>31.5</v>
      </c>
      <c r="N68">
        <v>298.10000000000002</v>
      </c>
      <c r="O68">
        <v>50.8</v>
      </c>
      <c r="P68">
        <v>22.6</v>
      </c>
      <c r="Q68">
        <v>1.6</v>
      </c>
      <c r="R68">
        <v>719316.6</v>
      </c>
      <c r="S68">
        <v>12.32</v>
      </c>
      <c r="T68">
        <v>30.8</v>
      </c>
      <c r="U68">
        <v>227.9</v>
      </c>
      <c r="V68">
        <v>55.6</v>
      </c>
      <c r="W68">
        <v>18.899999999999999</v>
      </c>
      <c r="X68">
        <v>18.8</v>
      </c>
      <c r="Y68">
        <v>616531.1</v>
      </c>
      <c r="Z68">
        <v>11.15</v>
      </c>
      <c r="AA68">
        <v>24.9</v>
      </c>
      <c r="AB68">
        <v>180.7</v>
      </c>
      <c r="AC68">
        <v>63.6</v>
      </c>
      <c r="AD68">
        <v>15.4</v>
      </c>
      <c r="AE68">
        <v>55.2</v>
      </c>
      <c r="AF68">
        <v>408672.8</v>
      </c>
      <c r="AG68">
        <v>8.91</v>
      </c>
      <c r="AH68">
        <v>18.5</v>
      </c>
      <c r="AI68">
        <v>103.3</v>
      </c>
      <c r="AJ68">
        <v>70.099999999999994</v>
      </c>
      <c r="AK68">
        <v>11.5</v>
      </c>
      <c r="AL68">
        <v>32.6</v>
      </c>
      <c r="AM68">
        <v>331325.5</v>
      </c>
      <c r="AN68">
        <v>7.1</v>
      </c>
      <c r="AO68">
        <v>13.4</v>
      </c>
      <c r="AP68">
        <v>71.2</v>
      </c>
      <c r="AQ68">
        <v>74.900000000000006</v>
      </c>
      <c r="AR68">
        <v>11.8</v>
      </c>
      <c r="AS68">
        <v>68.599999999999994</v>
      </c>
      <c r="AT68">
        <v>269176.7</v>
      </c>
      <c r="AU68">
        <v>8.2200000000000006</v>
      </c>
      <c r="AV68">
        <v>12.4</v>
      </c>
      <c r="AW68">
        <v>55</v>
      </c>
      <c r="AX68">
        <v>80</v>
      </c>
      <c r="AY68">
        <v>10.3</v>
      </c>
      <c r="AZ68">
        <v>38</v>
      </c>
      <c r="BA68">
        <v>281489.90000000002</v>
      </c>
      <c r="BB68">
        <v>7.57</v>
      </c>
      <c r="BC68">
        <v>11.2</v>
      </c>
      <c r="BD68">
        <v>52.7</v>
      </c>
      <c r="BE68">
        <v>82.2</v>
      </c>
      <c r="BF68">
        <v>10.4</v>
      </c>
      <c r="BG68">
        <v>51.6</v>
      </c>
      <c r="BH68">
        <v>357238.2</v>
      </c>
      <c r="BI68">
        <v>7.95</v>
      </c>
      <c r="BJ68">
        <v>11.6</v>
      </c>
      <c r="BK68">
        <v>61.4</v>
      </c>
      <c r="BL68">
        <v>84.2</v>
      </c>
      <c r="BM68">
        <v>12.1</v>
      </c>
      <c r="BN68">
        <v>25.8</v>
      </c>
      <c r="BO68">
        <v>548820.69999999995</v>
      </c>
      <c r="BP68">
        <v>8.5</v>
      </c>
      <c r="BQ68">
        <v>15.1</v>
      </c>
      <c r="BR68">
        <v>120.8</v>
      </c>
      <c r="BS68">
        <v>71</v>
      </c>
      <c r="BT68">
        <v>17.5</v>
      </c>
      <c r="BU68">
        <v>12.8</v>
      </c>
      <c r="BV68">
        <v>661881.5</v>
      </c>
      <c r="BW68">
        <v>11.32</v>
      </c>
      <c r="BX68">
        <v>22.5</v>
      </c>
      <c r="BY68">
        <v>185.8</v>
      </c>
      <c r="BZ68">
        <v>61.4</v>
      </c>
      <c r="CA68">
        <v>18.5</v>
      </c>
      <c r="CB68">
        <v>11.8</v>
      </c>
      <c r="CC68">
        <v>789183</v>
      </c>
      <c r="CD68">
        <v>12.43</v>
      </c>
      <c r="CE68">
        <v>25.3</v>
      </c>
      <c r="CF68">
        <v>222.5</v>
      </c>
      <c r="CG68">
        <v>61.7</v>
      </c>
      <c r="CH68">
        <v>19.7</v>
      </c>
      <c r="CI68">
        <v>33.200000000000003</v>
      </c>
      <c r="CJ68">
        <v>925702</v>
      </c>
      <c r="CK68">
        <v>12.31</v>
      </c>
      <c r="CL68">
        <v>28</v>
      </c>
      <c r="CM68">
        <v>266.60000000000002</v>
      </c>
      <c r="CN68">
        <v>55.2</v>
      </c>
      <c r="CP68" s="3">
        <v>204.8839893083333</v>
      </c>
      <c r="CQ68" s="3">
        <v>357.71587473362189</v>
      </c>
      <c r="CR68" s="3">
        <v>322.98543302087501</v>
      </c>
      <c r="CS68" s="3">
        <v>251.33925340010413</v>
      </c>
      <c r="CT68" s="3">
        <v>238.07175714163543</v>
      </c>
      <c r="CU68" s="7">
        <v>0.06</v>
      </c>
      <c r="CV68" s="7">
        <v>0.14000000000000001</v>
      </c>
      <c r="CW68" s="7">
        <v>7.0000000000000007E-2</v>
      </c>
      <c r="CX68" s="7">
        <v>0.04</v>
      </c>
      <c r="CY68" s="3">
        <f t="shared" si="2"/>
        <v>93.797531130612526</v>
      </c>
      <c r="CZ68">
        <v>1468</v>
      </c>
      <c r="DA68">
        <v>695</v>
      </c>
      <c r="DB68">
        <v>628010</v>
      </c>
      <c r="DC68">
        <v>1524</v>
      </c>
      <c r="DE68" t="s">
        <v>146</v>
      </c>
      <c r="DK68" s="5">
        <v>939.38272328868584</v>
      </c>
      <c r="DM68" s="5">
        <v>395.03671822711385</v>
      </c>
    </row>
    <row r="69" spans="1:117" x14ac:dyDescent="0.25">
      <c r="A69" t="s">
        <v>104</v>
      </c>
      <c r="B69" t="s">
        <v>122</v>
      </c>
      <c r="C69">
        <v>117.611931</v>
      </c>
      <c r="D69">
        <v>-33.683084999999998</v>
      </c>
      <c r="E69">
        <v>2016</v>
      </c>
      <c r="F69" t="s">
        <v>122</v>
      </c>
      <c r="G69" t="s">
        <v>139</v>
      </c>
      <c r="H69" t="s">
        <v>142</v>
      </c>
      <c r="I69">
        <v>21.1</v>
      </c>
      <c r="J69">
        <v>92.8</v>
      </c>
      <c r="K69">
        <v>772785.9</v>
      </c>
      <c r="L69">
        <v>13.93</v>
      </c>
      <c r="M69">
        <v>28.1</v>
      </c>
      <c r="N69">
        <v>236.3</v>
      </c>
      <c r="O69">
        <v>64.599999999999994</v>
      </c>
      <c r="P69">
        <v>21.2</v>
      </c>
      <c r="Q69">
        <v>1.6</v>
      </c>
      <c r="R69">
        <v>798077.1</v>
      </c>
      <c r="S69">
        <v>12.55</v>
      </c>
      <c r="T69">
        <v>28.8</v>
      </c>
      <c r="U69">
        <v>232.9</v>
      </c>
      <c r="V69">
        <v>58.1</v>
      </c>
      <c r="W69">
        <v>20.5</v>
      </c>
      <c r="X69">
        <v>9.6</v>
      </c>
      <c r="Y69">
        <v>425000.6</v>
      </c>
      <c r="Z69">
        <v>12.73</v>
      </c>
      <c r="AA69">
        <v>26.8</v>
      </c>
      <c r="AB69">
        <v>128.80000000000001</v>
      </c>
      <c r="AC69">
        <v>65.900000000000006</v>
      </c>
      <c r="AD69">
        <v>15.9</v>
      </c>
      <c r="AE69">
        <v>38.200000000000003</v>
      </c>
      <c r="AF69">
        <v>353482.8</v>
      </c>
      <c r="AG69">
        <v>8.58</v>
      </c>
      <c r="AH69">
        <v>18.399999999999999</v>
      </c>
      <c r="AI69">
        <v>76.400000000000006</v>
      </c>
      <c r="AJ69">
        <v>84.9</v>
      </c>
      <c r="AK69">
        <v>12.1</v>
      </c>
      <c r="AL69">
        <v>55.8</v>
      </c>
      <c r="AM69">
        <v>341945.5</v>
      </c>
      <c r="AN69">
        <v>9.02</v>
      </c>
      <c r="AO69">
        <v>12.7</v>
      </c>
      <c r="AP69">
        <v>64.8</v>
      </c>
      <c r="AQ69">
        <v>87.5</v>
      </c>
      <c r="AR69">
        <v>10.1</v>
      </c>
      <c r="AS69">
        <v>34.799999999999997</v>
      </c>
      <c r="AT69">
        <v>256521.1</v>
      </c>
      <c r="AU69">
        <v>7.98</v>
      </c>
      <c r="AV69">
        <v>10</v>
      </c>
      <c r="AW69">
        <v>39.4</v>
      </c>
      <c r="AX69">
        <v>90.9</v>
      </c>
      <c r="AY69">
        <v>9</v>
      </c>
      <c r="AZ69">
        <v>38.200000000000003</v>
      </c>
      <c r="BA69">
        <v>310635.09999999998</v>
      </c>
      <c r="BB69">
        <v>9.52</v>
      </c>
      <c r="BC69">
        <v>8.9</v>
      </c>
      <c r="BD69">
        <v>54.8</v>
      </c>
      <c r="BE69">
        <v>87.6</v>
      </c>
      <c r="BF69">
        <v>9</v>
      </c>
      <c r="BG69">
        <v>79</v>
      </c>
      <c r="BH69">
        <v>362159.2</v>
      </c>
      <c r="BI69">
        <v>9.57</v>
      </c>
      <c r="BJ69">
        <v>9.8000000000000007</v>
      </c>
      <c r="BK69">
        <v>61</v>
      </c>
      <c r="BL69">
        <v>87.6</v>
      </c>
      <c r="BM69">
        <v>9.1999999999999993</v>
      </c>
      <c r="BN69">
        <v>31.4</v>
      </c>
      <c r="BO69">
        <v>503999.1</v>
      </c>
      <c r="BP69">
        <v>9.9</v>
      </c>
      <c r="BQ69">
        <v>12.2</v>
      </c>
      <c r="BR69">
        <v>90.5</v>
      </c>
      <c r="BS69">
        <v>84.4</v>
      </c>
      <c r="BT69">
        <v>12.5</v>
      </c>
      <c r="BU69">
        <v>26.6</v>
      </c>
      <c r="BV69">
        <v>707333.4</v>
      </c>
      <c r="BW69">
        <v>10.58</v>
      </c>
      <c r="BX69">
        <v>17.100000000000001</v>
      </c>
      <c r="BY69">
        <v>159.30000000000001</v>
      </c>
      <c r="BZ69">
        <v>73.7</v>
      </c>
      <c r="CA69">
        <v>17.5</v>
      </c>
      <c r="CB69">
        <v>8.1999999999999993</v>
      </c>
      <c r="CC69">
        <v>857251.8</v>
      </c>
      <c r="CD69">
        <v>9.41</v>
      </c>
      <c r="CE69">
        <v>25.2</v>
      </c>
      <c r="CF69">
        <v>230.5</v>
      </c>
      <c r="CG69">
        <v>60.3</v>
      </c>
      <c r="CH69">
        <v>18.7</v>
      </c>
      <c r="CI69">
        <v>56.4</v>
      </c>
      <c r="CJ69">
        <v>967881.5</v>
      </c>
      <c r="CK69">
        <v>11.76</v>
      </c>
      <c r="CL69">
        <v>28.1</v>
      </c>
      <c r="CM69">
        <v>267.8</v>
      </c>
      <c r="CN69">
        <v>60.3</v>
      </c>
      <c r="CP69" s="3">
        <v>133.12695639999998</v>
      </c>
      <c r="CQ69" s="3">
        <v>265.94031967119787</v>
      </c>
      <c r="CR69" s="3">
        <v>244.36784107392498</v>
      </c>
      <c r="CS69" s="3">
        <v>168.48709864302083</v>
      </c>
      <c r="CT69" s="3">
        <v>219.627445633875</v>
      </c>
      <c r="CU69" s="7">
        <v>0.06</v>
      </c>
      <c r="CV69" s="7">
        <v>0.14000000000000001</v>
      </c>
      <c r="CW69" s="7">
        <v>7.0000000000000007E-2</v>
      </c>
      <c r="CX69" s="7">
        <v>0.04</v>
      </c>
      <c r="CY69" s="3">
        <f t="shared" si="2"/>
        <v>70.747111660987827</v>
      </c>
      <c r="CZ69">
        <v>1426</v>
      </c>
      <c r="DA69">
        <v>702</v>
      </c>
      <c r="DB69">
        <v>459370</v>
      </c>
      <c r="DC69">
        <v>1326</v>
      </c>
      <c r="DE69" t="s">
        <v>146</v>
      </c>
      <c r="DK69" s="5">
        <v>912.50665082402327</v>
      </c>
      <c r="DM69" s="5">
        <v>399.01550531717112</v>
      </c>
    </row>
    <row r="70" spans="1:117" x14ac:dyDescent="0.25">
      <c r="A70" t="s">
        <v>104</v>
      </c>
      <c r="B70" t="s">
        <v>122</v>
      </c>
      <c r="C70">
        <v>117.611931</v>
      </c>
      <c r="D70">
        <v>-33.683084999999998</v>
      </c>
      <c r="E70">
        <v>2017</v>
      </c>
      <c r="F70" t="s">
        <v>122</v>
      </c>
      <c r="G70" t="s">
        <v>139</v>
      </c>
      <c r="H70" t="s">
        <v>142</v>
      </c>
      <c r="I70">
        <v>21.3</v>
      </c>
      <c r="J70">
        <v>0</v>
      </c>
      <c r="K70">
        <v>981477.6</v>
      </c>
      <c r="L70">
        <v>11.63</v>
      </c>
      <c r="M70">
        <v>30.9</v>
      </c>
      <c r="N70">
        <v>299.60000000000002</v>
      </c>
      <c r="O70">
        <v>54</v>
      </c>
      <c r="P70">
        <v>19.5</v>
      </c>
      <c r="Q70">
        <v>160.80000000000001</v>
      </c>
      <c r="R70">
        <v>672216.3</v>
      </c>
      <c r="S70">
        <v>12.75</v>
      </c>
      <c r="T70">
        <v>26.2</v>
      </c>
      <c r="U70">
        <v>175.7</v>
      </c>
      <c r="V70">
        <v>71.3</v>
      </c>
      <c r="W70">
        <v>17.899999999999999</v>
      </c>
      <c r="X70">
        <v>41</v>
      </c>
      <c r="Y70">
        <v>616696.4</v>
      </c>
      <c r="Z70">
        <v>12.05</v>
      </c>
      <c r="AA70">
        <v>23.3</v>
      </c>
      <c r="AB70">
        <v>163.30000000000001</v>
      </c>
      <c r="AC70">
        <v>74.400000000000006</v>
      </c>
      <c r="AD70">
        <v>15.9</v>
      </c>
      <c r="AE70">
        <v>26</v>
      </c>
      <c r="AF70">
        <v>475380.8</v>
      </c>
      <c r="AG70">
        <v>7.53</v>
      </c>
      <c r="AH70">
        <v>20.3</v>
      </c>
      <c r="AI70">
        <v>117.1</v>
      </c>
      <c r="AJ70">
        <v>76.099999999999994</v>
      </c>
      <c r="AK70">
        <v>13.1</v>
      </c>
      <c r="AL70">
        <v>33.4</v>
      </c>
      <c r="AM70">
        <v>350260.8</v>
      </c>
      <c r="AN70">
        <v>7.56</v>
      </c>
      <c r="AO70">
        <v>14.7</v>
      </c>
      <c r="AP70">
        <v>76.599999999999994</v>
      </c>
      <c r="AQ70">
        <v>78.400000000000006</v>
      </c>
      <c r="AR70">
        <v>11.6</v>
      </c>
      <c r="AS70">
        <v>10.4</v>
      </c>
      <c r="AT70">
        <v>279798.90000000002</v>
      </c>
      <c r="AU70">
        <v>6.03</v>
      </c>
      <c r="AV70">
        <v>12.4</v>
      </c>
      <c r="AW70">
        <v>61.8</v>
      </c>
      <c r="AX70">
        <v>76.8</v>
      </c>
      <c r="AY70">
        <v>9.5</v>
      </c>
      <c r="AZ70">
        <v>73.400000000000006</v>
      </c>
      <c r="BA70">
        <v>271997.3</v>
      </c>
      <c r="BB70">
        <v>11.49</v>
      </c>
      <c r="BC70">
        <v>9.5</v>
      </c>
      <c r="BD70">
        <v>44.2</v>
      </c>
      <c r="BE70">
        <v>90.1</v>
      </c>
      <c r="BF70">
        <v>10.6</v>
      </c>
      <c r="BG70">
        <v>58</v>
      </c>
      <c r="BH70">
        <v>378319.1</v>
      </c>
      <c r="BI70">
        <v>11.63</v>
      </c>
      <c r="BJ70">
        <v>11.4</v>
      </c>
      <c r="BK70">
        <v>68.2</v>
      </c>
      <c r="BL70">
        <v>87.2</v>
      </c>
      <c r="BM70">
        <v>11.8</v>
      </c>
      <c r="BN70">
        <v>56.8</v>
      </c>
      <c r="BO70">
        <v>490654.3</v>
      </c>
      <c r="BP70">
        <v>9.2100000000000009</v>
      </c>
      <c r="BQ70">
        <v>14.8</v>
      </c>
      <c r="BR70">
        <v>100.6</v>
      </c>
      <c r="BS70">
        <v>82.2</v>
      </c>
      <c r="BT70">
        <v>14.1</v>
      </c>
      <c r="BU70">
        <v>30.8</v>
      </c>
      <c r="BV70">
        <v>684585.7</v>
      </c>
      <c r="BW70">
        <v>11.32</v>
      </c>
      <c r="BX70">
        <v>18.5</v>
      </c>
      <c r="BY70">
        <v>157.9</v>
      </c>
      <c r="BZ70">
        <v>74.3</v>
      </c>
      <c r="CA70">
        <v>18.5</v>
      </c>
      <c r="CB70">
        <v>2.8</v>
      </c>
      <c r="CC70">
        <v>804698.6</v>
      </c>
      <c r="CD70">
        <v>11.84</v>
      </c>
      <c r="CE70">
        <v>25.6</v>
      </c>
      <c r="CF70">
        <v>226.6</v>
      </c>
      <c r="CG70">
        <v>61.6</v>
      </c>
      <c r="CH70">
        <v>19.8</v>
      </c>
      <c r="CI70">
        <v>13.2</v>
      </c>
      <c r="CJ70">
        <v>931132.4</v>
      </c>
      <c r="CK70">
        <v>11.31</v>
      </c>
      <c r="CL70">
        <v>27.8</v>
      </c>
      <c r="CM70">
        <v>259.5</v>
      </c>
      <c r="CN70">
        <v>59.2</v>
      </c>
      <c r="CP70" s="3">
        <v>119.07146077499999</v>
      </c>
      <c r="CQ70" s="3">
        <v>235.14453102913441</v>
      </c>
      <c r="CR70" s="3">
        <v>211.74875985799997</v>
      </c>
      <c r="CS70" s="3">
        <v>150.26687985202918</v>
      </c>
      <c r="CT70" s="3">
        <v>166.58352970400003</v>
      </c>
      <c r="CU70" s="7">
        <v>0.06</v>
      </c>
      <c r="CV70" s="7">
        <v>0.14000000000000001</v>
      </c>
      <c r="CW70" s="7">
        <v>7.0000000000000007E-2</v>
      </c>
      <c r="CX70" s="7">
        <v>0.04</v>
      </c>
      <c r="CY70" s="3">
        <f t="shared" si="2"/>
        <v>60.935521019670105</v>
      </c>
      <c r="CZ70">
        <v>1498</v>
      </c>
      <c r="DA70">
        <v>652</v>
      </c>
      <c r="DB70">
        <v>501380</v>
      </c>
      <c r="DC70">
        <v>1435</v>
      </c>
      <c r="DE70" t="s">
        <v>146</v>
      </c>
      <c r="DK70" s="5">
        <v>958.57991790630206</v>
      </c>
      <c r="DM70" s="5">
        <v>370.59559753104782</v>
      </c>
    </row>
    <row r="71" spans="1:117" x14ac:dyDescent="0.25">
      <c r="A71" t="s">
        <v>104</v>
      </c>
      <c r="B71" t="s">
        <v>122</v>
      </c>
      <c r="C71">
        <v>117.611931</v>
      </c>
      <c r="D71">
        <v>-33.683084999999998</v>
      </c>
      <c r="E71">
        <v>2018</v>
      </c>
      <c r="F71" t="s">
        <v>122</v>
      </c>
      <c r="G71" t="s">
        <v>139</v>
      </c>
      <c r="H71" t="s">
        <v>142</v>
      </c>
      <c r="I71">
        <v>20.6</v>
      </c>
      <c r="J71">
        <v>37</v>
      </c>
      <c r="K71">
        <v>922461.1</v>
      </c>
      <c r="L71">
        <v>14.09</v>
      </c>
      <c r="M71">
        <v>28.8</v>
      </c>
      <c r="N71">
        <v>270.2</v>
      </c>
      <c r="O71">
        <v>62.4</v>
      </c>
      <c r="P71">
        <v>20.6</v>
      </c>
      <c r="Q71">
        <v>10.4</v>
      </c>
      <c r="R71">
        <v>715973.7</v>
      </c>
      <c r="S71">
        <v>11.55</v>
      </c>
      <c r="T71">
        <v>28.1</v>
      </c>
      <c r="U71">
        <v>203.2</v>
      </c>
      <c r="V71">
        <v>67.5</v>
      </c>
      <c r="W71">
        <v>19.7</v>
      </c>
      <c r="X71">
        <v>16.8</v>
      </c>
      <c r="Y71">
        <v>647658.19999999995</v>
      </c>
      <c r="Z71">
        <v>11.87</v>
      </c>
      <c r="AA71">
        <v>25.2</v>
      </c>
      <c r="AB71">
        <v>188</v>
      </c>
      <c r="AC71">
        <v>67.8</v>
      </c>
      <c r="AD71">
        <v>16.600000000000001</v>
      </c>
      <c r="AE71">
        <v>16.399999999999999</v>
      </c>
      <c r="AF71">
        <v>454732.5</v>
      </c>
      <c r="AG71">
        <v>8.82</v>
      </c>
      <c r="AH71">
        <v>19.899999999999999</v>
      </c>
      <c r="AI71">
        <v>116.2</v>
      </c>
      <c r="AJ71">
        <v>74.400000000000006</v>
      </c>
      <c r="AK71">
        <v>13.5</v>
      </c>
      <c r="AL71">
        <v>16</v>
      </c>
      <c r="AM71">
        <v>370912.4</v>
      </c>
      <c r="AN71">
        <v>8.02</v>
      </c>
      <c r="AO71">
        <v>14.8</v>
      </c>
      <c r="AP71">
        <v>94</v>
      </c>
      <c r="AQ71">
        <v>70.3</v>
      </c>
      <c r="AR71">
        <v>10.8</v>
      </c>
      <c r="AS71">
        <v>58.6</v>
      </c>
      <c r="AT71">
        <v>257436.4</v>
      </c>
      <c r="AU71">
        <v>7.54</v>
      </c>
      <c r="AV71">
        <v>10.9</v>
      </c>
      <c r="AW71">
        <v>41.7</v>
      </c>
      <c r="AX71">
        <v>90</v>
      </c>
      <c r="AY71">
        <v>10.6</v>
      </c>
      <c r="AZ71">
        <v>63</v>
      </c>
      <c r="BA71">
        <v>296850.59999999998</v>
      </c>
      <c r="BB71">
        <v>11.19</v>
      </c>
      <c r="BC71">
        <v>10.4</v>
      </c>
      <c r="BD71">
        <v>51.1</v>
      </c>
      <c r="BE71">
        <v>90.3</v>
      </c>
      <c r="BF71">
        <v>9.5</v>
      </c>
      <c r="BG71">
        <v>64.8</v>
      </c>
      <c r="BH71">
        <v>384245.8</v>
      </c>
      <c r="BI71">
        <v>10.62</v>
      </c>
      <c r="BJ71">
        <v>10.5</v>
      </c>
      <c r="BK71">
        <v>65.599999999999994</v>
      </c>
      <c r="BL71">
        <v>91.7</v>
      </c>
      <c r="BM71">
        <v>11.2</v>
      </c>
      <c r="BN71">
        <v>12.4</v>
      </c>
      <c r="BO71">
        <v>514315.3</v>
      </c>
      <c r="BP71">
        <v>9.7799999999999994</v>
      </c>
      <c r="BQ71">
        <v>14.7</v>
      </c>
      <c r="BR71">
        <v>100.5</v>
      </c>
      <c r="BS71">
        <v>84.1</v>
      </c>
      <c r="BT71">
        <v>14.6</v>
      </c>
      <c r="BU71">
        <v>32.799999999999997</v>
      </c>
      <c r="BV71">
        <v>618066.69999999995</v>
      </c>
      <c r="BW71">
        <v>10.77</v>
      </c>
      <c r="BX71">
        <v>19.3</v>
      </c>
      <c r="BY71">
        <v>142</v>
      </c>
      <c r="BZ71">
        <v>79.5</v>
      </c>
      <c r="CA71">
        <v>15.6</v>
      </c>
      <c r="CB71">
        <v>17.8</v>
      </c>
      <c r="CC71">
        <v>770686.3</v>
      </c>
      <c r="CD71">
        <v>10.88</v>
      </c>
      <c r="CE71">
        <v>22.9</v>
      </c>
      <c r="CF71">
        <v>193.1</v>
      </c>
      <c r="CG71">
        <v>69</v>
      </c>
      <c r="CH71">
        <v>20.100000000000001</v>
      </c>
      <c r="CI71">
        <v>8.1999999999999993</v>
      </c>
      <c r="CJ71">
        <v>935267.5</v>
      </c>
      <c r="CK71">
        <v>11.08</v>
      </c>
      <c r="CL71">
        <v>28.4</v>
      </c>
      <c r="CM71">
        <v>263.10000000000002</v>
      </c>
      <c r="CN71">
        <v>60.4</v>
      </c>
      <c r="CP71" s="3">
        <v>149.45420497500001</v>
      </c>
      <c r="CQ71" s="3">
        <v>274.57347051901041</v>
      </c>
      <c r="CR71" s="3">
        <v>237.4236465424917</v>
      </c>
      <c r="CS71" s="3">
        <v>174.41377918435418</v>
      </c>
      <c r="CT71" s="3">
        <v>166.56083829114584</v>
      </c>
      <c r="CU71" s="7">
        <v>0.06</v>
      </c>
      <c r="CV71" s="7">
        <v>0.14000000000000001</v>
      </c>
      <c r="CW71" s="7">
        <v>7.0000000000000007E-2</v>
      </c>
      <c r="CX71" s="7">
        <v>0.04</v>
      </c>
      <c r="CY71" s="3">
        <f t="shared" si="2"/>
        <v>68.585116821640085</v>
      </c>
      <c r="CZ71">
        <v>1364</v>
      </c>
      <c r="DA71">
        <v>600</v>
      </c>
      <c r="DB71">
        <v>496060</v>
      </c>
      <c r="DC71">
        <v>1349</v>
      </c>
      <c r="DE71" t="s">
        <v>146</v>
      </c>
      <c r="DK71" s="5">
        <v>872.83244861428307</v>
      </c>
      <c r="DM71" s="5">
        <v>341.03889343347959</v>
      </c>
    </row>
    <row r="72" spans="1:117" x14ac:dyDescent="0.25">
      <c r="A72" t="s">
        <v>104</v>
      </c>
      <c r="B72" t="s">
        <v>122</v>
      </c>
      <c r="C72">
        <v>117.611931</v>
      </c>
      <c r="D72">
        <v>-33.683084999999998</v>
      </c>
      <c r="E72">
        <v>2019</v>
      </c>
      <c r="F72" t="s">
        <v>122</v>
      </c>
      <c r="G72" t="s">
        <v>139</v>
      </c>
      <c r="H72" t="s">
        <v>142</v>
      </c>
      <c r="I72">
        <v>20.8</v>
      </c>
      <c r="J72">
        <v>1</v>
      </c>
      <c r="K72">
        <v>975613.7</v>
      </c>
      <c r="L72">
        <v>12.65</v>
      </c>
      <c r="M72">
        <v>30.1</v>
      </c>
      <c r="N72">
        <v>284.10000000000002</v>
      </c>
      <c r="O72">
        <v>60.3</v>
      </c>
      <c r="P72">
        <v>20.9</v>
      </c>
      <c r="Q72">
        <v>0</v>
      </c>
      <c r="R72">
        <v>791998.4</v>
      </c>
      <c r="S72">
        <v>13.45</v>
      </c>
      <c r="T72">
        <v>29</v>
      </c>
      <c r="U72">
        <v>236.3</v>
      </c>
      <c r="V72">
        <v>64.099999999999994</v>
      </c>
      <c r="W72">
        <v>18.899999999999999</v>
      </c>
      <c r="X72">
        <v>46.4</v>
      </c>
      <c r="Y72">
        <v>607047</v>
      </c>
      <c r="Z72">
        <v>11.17</v>
      </c>
      <c r="AA72">
        <v>24</v>
      </c>
      <c r="AB72">
        <v>162.5</v>
      </c>
      <c r="AC72">
        <v>73.900000000000006</v>
      </c>
      <c r="AD72">
        <v>15.8</v>
      </c>
      <c r="AE72">
        <v>14</v>
      </c>
      <c r="AF72">
        <v>480660.1</v>
      </c>
      <c r="AG72">
        <v>9.48</v>
      </c>
      <c r="AH72">
        <v>18.899999999999999</v>
      </c>
      <c r="AI72">
        <v>127.8</v>
      </c>
      <c r="AJ72">
        <v>71.5</v>
      </c>
      <c r="AK72">
        <v>12.1</v>
      </c>
      <c r="AL72">
        <v>17.399999999999999</v>
      </c>
      <c r="AM72">
        <v>371404.4</v>
      </c>
      <c r="AN72">
        <v>6.89</v>
      </c>
      <c r="AO72">
        <v>13.5</v>
      </c>
      <c r="AP72">
        <v>85.9</v>
      </c>
      <c r="AQ72">
        <v>74</v>
      </c>
      <c r="AR72">
        <v>10.9</v>
      </c>
      <c r="AS72">
        <v>91.6</v>
      </c>
      <c r="AT72">
        <v>274260.09999999998</v>
      </c>
      <c r="AU72">
        <v>10.11</v>
      </c>
      <c r="AV72">
        <v>11.1</v>
      </c>
      <c r="AW72">
        <v>56.8</v>
      </c>
      <c r="AX72">
        <v>80.8</v>
      </c>
      <c r="AY72">
        <v>10.3</v>
      </c>
      <c r="AZ72">
        <v>54.2</v>
      </c>
      <c r="BA72">
        <v>292752.7</v>
      </c>
      <c r="BB72">
        <v>7.72</v>
      </c>
      <c r="BC72">
        <v>10.8</v>
      </c>
      <c r="BD72">
        <v>47.8</v>
      </c>
      <c r="BE72">
        <v>90.8</v>
      </c>
      <c r="BF72">
        <v>10.4</v>
      </c>
      <c r="BG72">
        <v>62.2</v>
      </c>
      <c r="BH72">
        <v>426277.6</v>
      </c>
      <c r="BI72">
        <v>7.56</v>
      </c>
      <c r="BJ72">
        <v>12</v>
      </c>
      <c r="BK72">
        <v>77.5</v>
      </c>
      <c r="BL72">
        <v>85.6</v>
      </c>
      <c r="BM72">
        <v>13</v>
      </c>
      <c r="BN72">
        <v>18.2</v>
      </c>
      <c r="BO72">
        <v>567815.6</v>
      </c>
      <c r="BP72">
        <v>8.6300000000000008</v>
      </c>
      <c r="BQ72">
        <v>16.3</v>
      </c>
      <c r="BR72">
        <v>119.8</v>
      </c>
      <c r="BS72">
        <v>81.599999999999994</v>
      </c>
      <c r="BT72">
        <v>15.2</v>
      </c>
      <c r="BU72">
        <v>25.2</v>
      </c>
      <c r="BV72">
        <v>710923</v>
      </c>
      <c r="BW72">
        <v>9.7899999999999991</v>
      </c>
      <c r="BX72">
        <v>20.7</v>
      </c>
      <c r="BY72">
        <v>176.9</v>
      </c>
      <c r="BZ72">
        <v>72.5</v>
      </c>
      <c r="CA72">
        <v>17.899999999999999</v>
      </c>
      <c r="CB72">
        <v>8.6</v>
      </c>
      <c r="CC72">
        <v>913314.5</v>
      </c>
      <c r="CD72">
        <v>11.81</v>
      </c>
      <c r="CE72">
        <v>25.8</v>
      </c>
      <c r="CF72">
        <v>246.6</v>
      </c>
      <c r="CG72">
        <v>59.9</v>
      </c>
      <c r="CH72">
        <v>22.7</v>
      </c>
      <c r="CI72">
        <v>5.8</v>
      </c>
      <c r="CJ72">
        <v>872076.4</v>
      </c>
      <c r="CK72">
        <v>11.54</v>
      </c>
      <c r="CL72">
        <v>30.8</v>
      </c>
      <c r="CM72">
        <v>272.5</v>
      </c>
      <c r="CN72">
        <v>54.7</v>
      </c>
      <c r="CP72" s="3">
        <v>151.20769046666666</v>
      </c>
      <c r="CQ72" s="3">
        <v>267.33967790703502</v>
      </c>
      <c r="CR72" s="3">
        <v>246.94953969827165</v>
      </c>
      <c r="CS72" s="3">
        <v>186.82042264949916</v>
      </c>
      <c r="CT72" s="3">
        <v>164.67061180174997</v>
      </c>
      <c r="CU72" s="7">
        <v>0.06</v>
      </c>
      <c r="CV72" s="7">
        <v>0.14000000000000001</v>
      </c>
      <c r="CW72" s="7">
        <v>7.0000000000000007E-2</v>
      </c>
      <c r="CX72" s="7">
        <v>0.04</v>
      </c>
      <c r="CY72" s="3">
        <f t="shared" si="2"/>
        <v>70.277570289715072</v>
      </c>
      <c r="CZ72">
        <v>1772</v>
      </c>
      <c r="DA72">
        <v>669</v>
      </c>
      <c r="DB72">
        <v>656390</v>
      </c>
      <c r="DC72">
        <v>1780</v>
      </c>
      <c r="DE72" t="s">
        <v>146</v>
      </c>
      <c r="DK72" s="5">
        <v>1133.9142954138633</v>
      </c>
      <c r="DM72" s="5">
        <v>380.25836617832977</v>
      </c>
    </row>
    <row r="73" spans="1:117" x14ac:dyDescent="0.25">
      <c r="A73" t="s">
        <v>104</v>
      </c>
      <c r="B73" t="s">
        <v>122</v>
      </c>
      <c r="C73">
        <v>117.611931</v>
      </c>
      <c r="D73">
        <v>-33.683084999999998</v>
      </c>
      <c r="E73">
        <v>2020</v>
      </c>
      <c r="F73" t="s">
        <v>122</v>
      </c>
      <c r="G73" t="s">
        <v>139</v>
      </c>
      <c r="H73" t="s">
        <v>142</v>
      </c>
      <c r="I73">
        <v>20.8</v>
      </c>
      <c r="J73">
        <v>0.2</v>
      </c>
      <c r="K73">
        <v>931266.1</v>
      </c>
      <c r="L73">
        <v>12.15</v>
      </c>
      <c r="M73">
        <v>29.7</v>
      </c>
      <c r="N73">
        <v>275.89999999999998</v>
      </c>
      <c r="O73">
        <v>60.3</v>
      </c>
      <c r="P73">
        <v>21.3</v>
      </c>
      <c r="Q73">
        <v>25.4</v>
      </c>
      <c r="R73">
        <v>676608</v>
      </c>
      <c r="S73">
        <v>13.71</v>
      </c>
      <c r="T73">
        <v>27.4</v>
      </c>
      <c r="U73">
        <v>197.8</v>
      </c>
      <c r="V73">
        <v>69.7</v>
      </c>
      <c r="W73">
        <v>19.7</v>
      </c>
      <c r="X73">
        <v>26.4</v>
      </c>
      <c r="Y73">
        <v>622883.9</v>
      </c>
      <c r="Z73">
        <v>11.94</v>
      </c>
      <c r="AA73">
        <v>24.3</v>
      </c>
      <c r="AB73">
        <v>173.6</v>
      </c>
      <c r="AC73">
        <v>70.599999999999994</v>
      </c>
      <c r="AD73">
        <v>17.2</v>
      </c>
      <c r="AE73">
        <v>6.6</v>
      </c>
      <c r="AF73">
        <v>330438.09999999998</v>
      </c>
      <c r="AG73">
        <v>9.77</v>
      </c>
      <c r="AH73">
        <v>20.7</v>
      </c>
      <c r="AI73">
        <v>99.9</v>
      </c>
      <c r="AJ73">
        <v>71.8</v>
      </c>
      <c r="AK73">
        <v>12.7</v>
      </c>
      <c r="AL73">
        <v>66.400000000000006</v>
      </c>
      <c r="AM73">
        <v>96227.1</v>
      </c>
      <c r="AN73">
        <v>9.89</v>
      </c>
      <c r="AO73">
        <v>13.9</v>
      </c>
      <c r="AP73">
        <v>32.9</v>
      </c>
      <c r="AQ73">
        <v>77.5</v>
      </c>
      <c r="AR73">
        <v>12.3</v>
      </c>
      <c r="AS73">
        <v>57.2</v>
      </c>
      <c r="AT73">
        <v>267662.90000000002</v>
      </c>
      <c r="AU73">
        <v>8.91</v>
      </c>
      <c r="AV73">
        <v>12.2</v>
      </c>
      <c r="AW73">
        <v>51.5</v>
      </c>
      <c r="AX73">
        <v>83.7</v>
      </c>
      <c r="AY73">
        <v>10.5</v>
      </c>
      <c r="AZ73">
        <v>47.8</v>
      </c>
      <c r="BA73">
        <v>318300.5</v>
      </c>
      <c r="BB73">
        <v>7.83</v>
      </c>
      <c r="BC73">
        <v>10.7</v>
      </c>
      <c r="BD73">
        <v>52.3</v>
      </c>
      <c r="BE73">
        <v>91.8</v>
      </c>
      <c r="BF73">
        <v>10.199999999999999</v>
      </c>
      <c r="BG73">
        <v>63.6</v>
      </c>
      <c r="BH73">
        <v>245055.2</v>
      </c>
      <c r="BI73">
        <v>8.92</v>
      </c>
      <c r="BJ73">
        <v>11.7</v>
      </c>
      <c r="BK73">
        <v>43.2</v>
      </c>
      <c r="BL73">
        <v>90.8</v>
      </c>
      <c r="BM73">
        <v>11.9</v>
      </c>
      <c r="BN73">
        <v>35.4</v>
      </c>
      <c r="BO73">
        <v>117366.5</v>
      </c>
      <c r="BP73">
        <v>11.65</v>
      </c>
      <c r="BQ73">
        <v>15.1</v>
      </c>
      <c r="BR73">
        <v>33.200000000000003</v>
      </c>
      <c r="BS73">
        <v>84.6</v>
      </c>
      <c r="BT73">
        <v>15.1</v>
      </c>
      <c r="BU73">
        <v>4.5999999999999996</v>
      </c>
      <c r="BV73">
        <v>705720.2</v>
      </c>
      <c r="BW73">
        <v>10.26</v>
      </c>
      <c r="BX73">
        <v>22.1</v>
      </c>
      <c r="BY73">
        <v>176.2</v>
      </c>
      <c r="BZ73">
        <v>68.8</v>
      </c>
      <c r="CA73">
        <v>16.5</v>
      </c>
      <c r="CB73">
        <v>51</v>
      </c>
      <c r="CC73">
        <v>743891.2</v>
      </c>
      <c r="CD73">
        <v>11.05</v>
      </c>
      <c r="CE73">
        <v>23.6</v>
      </c>
      <c r="CF73">
        <v>193.3</v>
      </c>
      <c r="CG73">
        <v>69.099999999999994</v>
      </c>
      <c r="CH73">
        <v>19.8</v>
      </c>
      <c r="CI73">
        <v>1</v>
      </c>
      <c r="CJ73">
        <v>985428.3</v>
      </c>
      <c r="CK73">
        <v>13.91</v>
      </c>
      <c r="CL73">
        <v>29.5</v>
      </c>
      <c r="CM73">
        <v>286.8</v>
      </c>
      <c r="CN73">
        <v>57.3</v>
      </c>
      <c r="CP73" s="3">
        <v>137.12151142499999</v>
      </c>
      <c r="CQ73" s="3">
        <v>183.94377395835087</v>
      </c>
      <c r="CR73" s="3">
        <v>171.50265380089249</v>
      </c>
      <c r="CS73" s="3">
        <v>153.47587761539251</v>
      </c>
      <c r="CT73" s="3">
        <v>168.62831412656331</v>
      </c>
      <c r="CU73" s="7">
        <v>0.06</v>
      </c>
      <c r="CV73" s="7">
        <v>0.14000000000000001</v>
      </c>
      <c r="CW73" s="7">
        <v>7.0000000000000007E-2</v>
      </c>
      <c r="CX73" s="7">
        <v>0.04</v>
      </c>
      <c r="CY73" s="3">
        <f t="shared" si="2"/>
        <v>52.535441967766019</v>
      </c>
      <c r="CZ73">
        <v>1005</v>
      </c>
      <c r="DA73">
        <v>646</v>
      </c>
      <c r="DB73">
        <v>524950</v>
      </c>
      <c r="DC73">
        <v>1056</v>
      </c>
      <c r="DE73" t="s">
        <v>146</v>
      </c>
      <c r="DK73" s="5">
        <v>643.1060196901426</v>
      </c>
      <c r="DM73" s="5">
        <v>367.18520859671304</v>
      </c>
    </row>
    <row r="74" spans="1:117" x14ac:dyDescent="0.25">
      <c r="A74" t="s">
        <v>105</v>
      </c>
      <c r="B74" t="s">
        <v>123</v>
      </c>
      <c r="C74">
        <v>118.30184800000001</v>
      </c>
      <c r="D74">
        <v>-32.790382000000001</v>
      </c>
      <c r="E74">
        <v>2013</v>
      </c>
      <c r="F74" t="s">
        <v>123</v>
      </c>
      <c r="G74" t="s">
        <v>141</v>
      </c>
      <c r="H74" t="s">
        <v>144</v>
      </c>
      <c r="I74" s="2">
        <f>+AVERAGE(I75:I77)</f>
        <v>23.333333333333332</v>
      </c>
      <c r="J74" s="2">
        <f t="shared" ref="J74:BU75" si="3">+AVERAGE(J75:J77)</f>
        <v>14.266666666666666</v>
      </c>
      <c r="K74" s="2">
        <f t="shared" si="3"/>
        <v>891314.2666666666</v>
      </c>
      <c r="L74" s="2">
        <f t="shared" si="3"/>
        <v>15.72</v>
      </c>
      <c r="M74" s="2">
        <f t="shared" si="3"/>
        <v>32.766666666666666</v>
      </c>
      <c r="N74" s="2">
        <f t="shared" si="3"/>
        <v>303.5333333333333</v>
      </c>
      <c r="O74" s="2">
        <f t="shared" si="3"/>
        <v>50.94444444444445</v>
      </c>
      <c r="P74" s="2">
        <f t="shared" si="3"/>
        <v>23.833333333333332</v>
      </c>
      <c r="Q74" s="2">
        <f t="shared" si="3"/>
        <v>10.666666666666666</v>
      </c>
      <c r="R74" s="2">
        <f t="shared" si="3"/>
        <v>741831.79999999993</v>
      </c>
      <c r="S74" s="2">
        <f t="shared" si="3"/>
        <v>15.206666666666665</v>
      </c>
      <c r="T74" s="2">
        <f t="shared" si="3"/>
        <v>32.266666666666666</v>
      </c>
      <c r="U74" s="2">
        <f t="shared" si="3"/>
        <v>254.5</v>
      </c>
      <c r="V74" s="2">
        <f t="shared" si="3"/>
        <v>51.977777777777781</v>
      </c>
      <c r="W74" s="2">
        <f t="shared" si="3"/>
        <v>20.8</v>
      </c>
      <c r="X74" s="2">
        <f t="shared" si="3"/>
        <v>39.4</v>
      </c>
      <c r="Y74" s="2">
        <f t="shared" si="3"/>
        <v>588003.4</v>
      </c>
      <c r="Z74" s="2">
        <f t="shared" si="3"/>
        <v>14.453333333333333</v>
      </c>
      <c r="AA74" s="2">
        <f t="shared" si="3"/>
        <v>23.7</v>
      </c>
      <c r="AB74" s="2">
        <f t="shared" si="3"/>
        <v>189.16666666666666</v>
      </c>
      <c r="AC74" s="2">
        <f t="shared" si="3"/>
        <v>60.022222222222219</v>
      </c>
      <c r="AD74" s="2">
        <f t="shared" si="3"/>
        <v>16.7</v>
      </c>
      <c r="AE74" s="2">
        <f t="shared" si="3"/>
        <v>30.400000000000002</v>
      </c>
      <c r="AF74" s="2">
        <f t="shared" si="3"/>
        <v>397067.83333333331</v>
      </c>
      <c r="AG74" s="2">
        <f t="shared" si="3"/>
        <v>11.94</v>
      </c>
      <c r="AH74" s="2">
        <f t="shared" si="3"/>
        <v>19.466666666666669</v>
      </c>
      <c r="AI74" s="2">
        <f t="shared" si="3"/>
        <v>111.60000000000001</v>
      </c>
      <c r="AJ74" s="2">
        <f t="shared" si="3"/>
        <v>68.766666666666666</v>
      </c>
      <c r="AK74" s="2">
        <f t="shared" si="3"/>
        <v>12.533333333333333</v>
      </c>
      <c r="AL74" s="2">
        <f t="shared" si="3"/>
        <v>19.2</v>
      </c>
      <c r="AM74" s="2">
        <f t="shared" si="3"/>
        <v>368093.66666666669</v>
      </c>
      <c r="AN74" s="2">
        <f t="shared" si="3"/>
        <v>9.8266666666666662</v>
      </c>
      <c r="AO74" s="2">
        <f t="shared" si="3"/>
        <v>14.433333333333332</v>
      </c>
      <c r="AP74" s="2">
        <f t="shared" si="3"/>
        <v>89.09999999999998</v>
      </c>
      <c r="AQ74" s="2">
        <f t="shared" si="3"/>
        <v>73.733333333333334</v>
      </c>
      <c r="AR74" s="2">
        <f t="shared" si="3"/>
        <v>11.533333333333333</v>
      </c>
      <c r="AS74" s="2">
        <f t="shared" si="3"/>
        <v>28.933333333333334</v>
      </c>
      <c r="AT74" s="2">
        <f t="shared" si="3"/>
        <v>278007.2</v>
      </c>
      <c r="AU74" s="2">
        <f t="shared" si="3"/>
        <v>9.2000000000000011</v>
      </c>
      <c r="AV74" s="2">
        <f t="shared" si="3"/>
        <v>12.333333333333334</v>
      </c>
      <c r="AW74" s="2">
        <f t="shared" si="3"/>
        <v>58.966666666666661</v>
      </c>
      <c r="AX74" s="2">
        <f t="shared" si="3"/>
        <v>80.066666666666677</v>
      </c>
      <c r="AY74" s="2">
        <f t="shared" si="3"/>
        <v>10.1</v>
      </c>
      <c r="AZ74" s="2">
        <f t="shared" si="3"/>
        <v>28.466666666666669</v>
      </c>
      <c r="BA74" s="2">
        <f t="shared" si="3"/>
        <v>304357.53333333333</v>
      </c>
      <c r="BB74" s="2">
        <f t="shared" si="3"/>
        <v>9.3866666666666667</v>
      </c>
      <c r="BC74" s="2">
        <f t="shared" si="3"/>
        <v>10.866666666666667</v>
      </c>
      <c r="BD74" s="2">
        <f t="shared" si="3"/>
        <v>61.833333333333336</v>
      </c>
      <c r="BE74" s="2">
        <f t="shared" si="3"/>
        <v>81.977777777777774</v>
      </c>
      <c r="BF74" s="2">
        <f t="shared" si="3"/>
        <v>10.6</v>
      </c>
      <c r="BG74" s="2">
        <f t="shared" si="3"/>
        <v>79</v>
      </c>
      <c r="BH74" s="2">
        <f t="shared" si="3"/>
        <v>388871.59999999992</v>
      </c>
      <c r="BI74" s="2">
        <f t="shared" si="3"/>
        <v>9.9266666666666676</v>
      </c>
      <c r="BJ74" s="2">
        <f t="shared" si="3"/>
        <v>11.9</v>
      </c>
      <c r="BK74" s="2">
        <f t="shared" si="3"/>
        <v>74.5</v>
      </c>
      <c r="BL74" s="2">
        <f t="shared" si="3"/>
        <v>81.233333333333334</v>
      </c>
      <c r="BM74" s="2">
        <f t="shared" si="3"/>
        <v>12.199999999999998</v>
      </c>
      <c r="BN74" s="2">
        <f t="shared" si="3"/>
        <v>17.2</v>
      </c>
      <c r="BO74" s="2">
        <f t="shared" si="3"/>
        <v>571620.20000000007</v>
      </c>
      <c r="BP74" s="2">
        <f t="shared" si="3"/>
        <v>10.296666666666667</v>
      </c>
      <c r="BQ74" s="2">
        <f t="shared" si="3"/>
        <v>15.233333333333334</v>
      </c>
      <c r="BR74" s="2">
        <f t="shared" si="3"/>
        <v>134.26666666666665</v>
      </c>
      <c r="BS74" s="2">
        <f t="shared" si="3"/>
        <v>69.933333333333337</v>
      </c>
      <c r="BT74" s="2">
        <f t="shared" si="3"/>
        <v>17.533333333333335</v>
      </c>
      <c r="BU74" s="2">
        <f t="shared" si="3"/>
        <v>10.466666666666667</v>
      </c>
      <c r="BV74" s="2">
        <f t="shared" ref="BV74:CN75" si="4">+AVERAGE(BV75:BV77)</f>
        <v>711783.6</v>
      </c>
      <c r="BW74" s="2">
        <f t="shared" si="4"/>
        <v>12.093333333333334</v>
      </c>
      <c r="BX74" s="2">
        <f t="shared" si="4"/>
        <v>23.8</v>
      </c>
      <c r="BY74" s="2">
        <f t="shared" si="4"/>
        <v>208.70000000000002</v>
      </c>
      <c r="BZ74" s="2">
        <f t="shared" si="4"/>
        <v>58.333333333333336</v>
      </c>
      <c r="CA74" s="2">
        <f t="shared" si="4"/>
        <v>19.533333333333335</v>
      </c>
      <c r="CB74" s="2">
        <f t="shared" si="4"/>
        <v>30.400000000000002</v>
      </c>
      <c r="CC74" s="2">
        <f t="shared" si="4"/>
        <v>748924.7333333334</v>
      </c>
      <c r="CD74" s="2">
        <f t="shared" si="4"/>
        <v>13.296666666666667</v>
      </c>
      <c r="CE74" s="2">
        <f t="shared" si="4"/>
        <v>27.366666666666664</v>
      </c>
      <c r="CF74" s="2">
        <f t="shared" si="4"/>
        <v>221.23333333333335</v>
      </c>
      <c r="CG74" s="2">
        <f t="shared" si="4"/>
        <v>54.233333333333341</v>
      </c>
      <c r="CH74" s="2">
        <f t="shared" si="4"/>
        <v>20.7</v>
      </c>
      <c r="CI74" s="2">
        <f t="shared" si="4"/>
        <v>22.2</v>
      </c>
      <c r="CJ74" s="2">
        <f t="shared" si="4"/>
        <v>950491.5</v>
      </c>
      <c r="CK74" s="2">
        <f t="shared" si="4"/>
        <v>15.306666666666667</v>
      </c>
      <c r="CL74" s="2">
        <f t="shared" si="4"/>
        <v>29.7</v>
      </c>
      <c r="CM74" s="2">
        <f t="shared" si="4"/>
        <v>295.06666666666666</v>
      </c>
      <c r="CN74" s="2">
        <f t="shared" si="4"/>
        <v>51.166666666666664</v>
      </c>
      <c r="CP74" s="3">
        <v>344.25478384166667</v>
      </c>
      <c r="CQ74" s="3">
        <v>485.1324771412531</v>
      </c>
      <c r="CR74" s="3">
        <v>453.99912920229173</v>
      </c>
      <c r="CS74" s="3">
        <v>379.15555696741984</v>
      </c>
      <c r="CT74" s="3">
        <v>431.36433691804177</v>
      </c>
      <c r="CU74" s="7">
        <v>0.06</v>
      </c>
      <c r="CV74" s="7">
        <v>0.14000000000000001</v>
      </c>
      <c r="CW74" s="7">
        <v>7.0000000000000007E-2</v>
      </c>
      <c r="CX74" s="7">
        <v>0.04</v>
      </c>
      <c r="CY74" s="3">
        <f t="shared" si="2"/>
        <v>136.46328918123712</v>
      </c>
      <c r="CZ74">
        <v>1198</v>
      </c>
      <c r="DA74">
        <v>1617</v>
      </c>
      <c r="DB74">
        <v>619230</v>
      </c>
      <c r="DC74">
        <v>1156</v>
      </c>
      <c r="DE74" t="s">
        <v>146</v>
      </c>
      <c r="DK74" s="5">
        <v>939.84867865183901</v>
      </c>
      <c r="DM74" s="5">
        <v>1053.1417772178168</v>
      </c>
    </row>
    <row r="75" spans="1:117" x14ac:dyDescent="0.25">
      <c r="A75" t="s">
        <v>105</v>
      </c>
      <c r="B75" t="s">
        <v>123</v>
      </c>
      <c r="C75">
        <v>118.30184800000001</v>
      </c>
      <c r="D75">
        <v>-32.790382000000001</v>
      </c>
      <c r="E75">
        <v>2014</v>
      </c>
      <c r="F75" t="s">
        <v>123</v>
      </c>
      <c r="G75" t="s">
        <v>141</v>
      </c>
      <c r="H75" t="s">
        <v>144</v>
      </c>
      <c r="I75">
        <v>23.6</v>
      </c>
      <c r="J75">
        <v>0</v>
      </c>
      <c r="K75">
        <v>930120.1</v>
      </c>
      <c r="L75">
        <v>16.350000000000001</v>
      </c>
      <c r="M75">
        <v>32.799999999999997</v>
      </c>
      <c r="N75">
        <v>322.7</v>
      </c>
      <c r="O75" s="2">
        <f t="shared" si="3"/>
        <v>50.033333333333339</v>
      </c>
      <c r="P75">
        <v>24.2</v>
      </c>
      <c r="Q75">
        <v>11</v>
      </c>
      <c r="R75">
        <v>697997</v>
      </c>
      <c r="S75">
        <v>15.19</v>
      </c>
      <c r="T75">
        <v>31.7</v>
      </c>
      <c r="U75">
        <v>245.2</v>
      </c>
      <c r="V75" s="2">
        <f t="shared" si="3"/>
        <v>54.833333333333336</v>
      </c>
      <c r="W75">
        <v>20.100000000000001</v>
      </c>
      <c r="X75">
        <v>50</v>
      </c>
      <c r="Y75">
        <v>649509</v>
      </c>
      <c r="Z75">
        <v>14.23</v>
      </c>
      <c r="AA75">
        <v>24.5</v>
      </c>
      <c r="AB75">
        <v>201.4</v>
      </c>
      <c r="AC75" s="2">
        <f t="shared" si="3"/>
        <v>60.466666666666661</v>
      </c>
      <c r="AD75">
        <v>16.5</v>
      </c>
      <c r="AE75">
        <v>33.200000000000003</v>
      </c>
      <c r="AF75">
        <v>454981.5</v>
      </c>
      <c r="AG75">
        <v>12.53</v>
      </c>
      <c r="AH75">
        <v>19.600000000000001</v>
      </c>
      <c r="AI75">
        <v>131.30000000000001</v>
      </c>
      <c r="AJ75" s="2">
        <f t="shared" si="3"/>
        <v>67.099999999999994</v>
      </c>
      <c r="AK75">
        <v>12.5</v>
      </c>
      <c r="AL75">
        <v>16.2</v>
      </c>
      <c r="AM75">
        <v>378961.4</v>
      </c>
      <c r="AN75">
        <v>10.07</v>
      </c>
      <c r="AO75">
        <v>14.6</v>
      </c>
      <c r="AP75">
        <v>95.6</v>
      </c>
      <c r="AQ75" s="2">
        <f t="shared" si="3"/>
        <v>73</v>
      </c>
      <c r="AR75">
        <v>12.1</v>
      </c>
      <c r="AS75">
        <v>28.4</v>
      </c>
      <c r="AT75">
        <v>278611.3</v>
      </c>
      <c r="AU75">
        <v>10.31</v>
      </c>
      <c r="AV75">
        <v>12.8</v>
      </c>
      <c r="AW75">
        <v>63.3</v>
      </c>
      <c r="AX75" s="2">
        <f t="shared" si="3"/>
        <v>79.400000000000006</v>
      </c>
      <c r="AY75">
        <v>10.6</v>
      </c>
      <c r="AZ75">
        <v>24.4</v>
      </c>
      <c r="BA75">
        <v>293465.5</v>
      </c>
      <c r="BB75">
        <v>8.99</v>
      </c>
      <c r="BC75">
        <v>11.4</v>
      </c>
      <c r="BD75">
        <v>62</v>
      </c>
      <c r="BE75" s="2">
        <f t="shared" si="3"/>
        <v>85.733333333333334</v>
      </c>
      <c r="BF75">
        <v>11.2</v>
      </c>
      <c r="BG75">
        <v>90.4</v>
      </c>
      <c r="BH75">
        <v>394225.1</v>
      </c>
      <c r="BI75">
        <v>9.65</v>
      </c>
      <c r="BJ75">
        <v>12.6</v>
      </c>
      <c r="BK75">
        <v>76.2</v>
      </c>
      <c r="BL75" s="2">
        <f t="shared" si="3"/>
        <v>81.7</v>
      </c>
      <c r="BM75">
        <v>13.2</v>
      </c>
      <c r="BN75">
        <v>13.6</v>
      </c>
      <c r="BO75">
        <v>588141.30000000005</v>
      </c>
      <c r="BP75">
        <v>10.28</v>
      </c>
      <c r="BQ75">
        <v>16.8</v>
      </c>
      <c r="BR75">
        <v>146.19999999999999</v>
      </c>
      <c r="BS75" s="2">
        <f t="shared" si="3"/>
        <v>71.2</v>
      </c>
      <c r="BT75">
        <v>19.100000000000001</v>
      </c>
      <c r="BU75">
        <v>10.199999999999999</v>
      </c>
      <c r="BV75">
        <v>681105</v>
      </c>
      <c r="BW75">
        <v>11.86</v>
      </c>
      <c r="BX75">
        <v>26.6</v>
      </c>
      <c r="BY75">
        <v>209.9</v>
      </c>
      <c r="BZ75" s="2">
        <f t="shared" si="4"/>
        <v>60.1</v>
      </c>
      <c r="CA75">
        <v>18.600000000000001</v>
      </c>
      <c r="CB75">
        <v>62.2</v>
      </c>
      <c r="CC75">
        <v>495471.5</v>
      </c>
      <c r="CD75">
        <v>13.82</v>
      </c>
      <c r="CE75">
        <v>23.7</v>
      </c>
      <c r="CF75">
        <v>136.9</v>
      </c>
      <c r="CG75">
        <v>58.7</v>
      </c>
      <c r="CH75">
        <v>20.100000000000001</v>
      </c>
      <c r="CI75">
        <v>1.4</v>
      </c>
      <c r="CJ75">
        <v>943471.7</v>
      </c>
      <c r="CK75">
        <v>15.78</v>
      </c>
      <c r="CL75">
        <v>28.6</v>
      </c>
      <c r="CM75">
        <v>285.5</v>
      </c>
      <c r="CN75">
        <v>54.3</v>
      </c>
      <c r="CP75" s="3">
        <v>283.32452813333333</v>
      </c>
      <c r="CQ75" s="3">
        <v>368.2939243092531</v>
      </c>
      <c r="CR75" s="3">
        <v>330.59328943508331</v>
      </c>
      <c r="CS75" s="3">
        <v>279.4513129062604</v>
      </c>
      <c r="CT75" s="3">
        <v>325.40383910199995</v>
      </c>
      <c r="CU75" s="7">
        <v>0.06</v>
      </c>
      <c r="CV75" s="7">
        <v>0.14000000000000001</v>
      </c>
      <c r="CW75" s="7">
        <v>7.0000000000000007E-2</v>
      </c>
      <c r="CX75" s="7">
        <v>0.04</v>
      </c>
      <c r="CY75" s="3">
        <f t="shared" si="2"/>
        <v>100.95844144698508</v>
      </c>
      <c r="CZ75">
        <v>2476</v>
      </c>
      <c r="DA75">
        <v>1792</v>
      </c>
      <c r="DB75">
        <v>885690</v>
      </c>
      <c r="DC75">
        <v>2342</v>
      </c>
      <c r="DE75" t="s">
        <v>146</v>
      </c>
      <c r="DK75" s="5">
        <v>1942.4585378480413</v>
      </c>
      <c r="DM75" s="5">
        <v>1167.1181600335979</v>
      </c>
    </row>
    <row r="76" spans="1:117" x14ac:dyDescent="0.25">
      <c r="A76" t="s">
        <v>105</v>
      </c>
      <c r="B76" t="s">
        <v>123</v>
      </c>
      <c r="C76">
        <v>118.30184800000001</v>
      </c>
      <c r="D76">
        <v>-32.790382000000001</v>
      </c>
      <c r="E76">
        <v>2015</v>
      </c>
      <c r="F76" t="s">
        <v>123</v>
      </c>
      <c r="G76" t="s">
        <v>141</v>
      </c>
      <c r="H76" t="s">
        <v>144</v>
      </c>
      <c r="I76">
        <v>23.6</v>
      </c>
      <c r="J76">
        <v>0</v>
      </c>
      <c r="K76">
        <v>930120.1</v>
      </c>
      <c r="L76">
        <v>16.350000000000001</v>
      </c>
      <c r="M76">
        <v>32.799999999999997</v>
      </c>
      <c r="N76">
        <v>322.7</v>
      </c>
      <c r="O76">
        <v>45.1</v>
      </c>
      <c r="P76">
        <v>24.2</v>
      </c>
      <c r="Q76">
        <v>11</v>
      </c>
      <c r="R76">
        <v>697997</v>
      </c>
      <c r="S76">
        <v>15.19</v>
      </c>
      <c r="T76">
        <v>31.7</v>
      </c>
      <c r="U76">
        <v>245.2</v>
      </c>
      <c r="V76">
        <v>51.7</v>
      </c>
      <c r="W76">
        <v>20.100000000000001</v>
      </c>
      <c r="X76">
        <v>50</v>
      </c>
      <c r="Y76">
        <v>649509</v>
      </c>
      <c r="Z76">
        <v>14.23</v>
      </c>
      <c r="AA76">
        <v>24.5</v>
      </c>
      <c r="AB76">
        <v>201.4</v>
      </c>
      <c r="AC76">
        <v>61.6</v>
      </c>
      <c r="AD76">
        <v>16.5</v>
      </c>
      <c r="AE76">
        <v>33.200000000000003</v>
      </c>
      <c r="AF76">
        <v>454981.5</v>
      </c>
      <c r="AG76">
        <v>12.53</v>
      </c>
      <c r="AH76">
        <v>19.600000000000001</v>
      </c>
      <c r="AI76">
        <v>131.30000000000001</v>
      </c>
      <c r="AJ76">
        <v>65</v>
      </c>
      <c r="AK76">
        <v>12.5</v>
      </c>
      <c r="AL76">
        <v>16.2</v>
      </c>
      <c r="AM76">
        <v>378961.4</v>
      </c>
      <c r="AN76">
        <v>10.07</v>
      </c>
      <c r="AO76">
        <v>14.6</v>
      </c>
      <c r="AP76">
        <v>95.6</v>
      </c>
      <c r="AQ76">
        <v>69.900000000000006</v>
      </c>
      <c r="AR76">
        <v>12.1</v>
      </c>
      <c r="AS76">
        <v>28.4</v>
      </c>
      <c r="AT76">
        <v>278611.3</v>
      </c>
      <c r="AU76">
        <v>10.31</v>
      </c>
      <c r="AV76">
        <v>12.8</v>
      </c>
      <c r="AW76">
        <v>63.3</v>
      </c>
      <c r="AX76">
        <v>77.900000000000006</v>
      </c>
      <c r="AY76">
        <v>10.6</v>
      </c>
      <c r="AZ76">
        <v>24.4</v>
      </c>
      <c r="BA76">
        <v>293465.5</v>
      </c>
      <c r="BB76">
        <v>8.99</v>
      </c>
      <c r="BC76">
        <v>11.4</v>
      </c>
      <c r="BD76">
        <v>62</v>
      </c>
      <c r="BE76">
        <v>78.7</v>
      </c>
      <c r="BF76">
        <v>11.2</v>
      </c>
      <c r="BG76">
        <v>90.4</v>
      </c>
      <c r="BH76">
        <v>394225.1</v>
      </c>
      <c r="BI76">
        <v>9.65</v>
      </c>
      <c r="BJ76">
        <v>12.6</v>
      </c>
      <c r="BK76">
        <v>76.2</v>
      </c>
      <c r="BL76">
        <v>79.2</v>
      </c>
      <c r="BM76">
        <v>13.2</v>
      </c>
      <c r="BN76">
        <v>13.6</v>
      </c>
      <c r="BO76">
        <v>588141.30000000005</v>
      </c>
      <c r="BP76">
        <v>10.28</v>
      </c>
      <c r="BQ76">
        <v>16.8</v>
      </c>
      <c r="BR76">
        <v>146.19999999999999</v>
      </c>
      <c r="BS76">
        <v>64.2</v>
      </c>
      <c r="BT76">
        <v>19.100000000000001</v>
      </c>
      <c r="BU76">
        <v>10.199999999999999</v>
      </c>
      <c r="BV76">
        <v>681105</v>
      </c>
      <c r="BW76">
        <v>11.86</v>
      </c>
      <c r="BX76">
        <v>26.6</v>
      </c>
      <c r="BY76">
        <v>209.9</v>
      </c>
      <c r="BZ76">
        <v>54.5</v>
      </c>
      <c r="CA76">
        <v>20.5</v>
      </c>
      <c r="CB76">
        <v>27.8</v>
      </c>
      <c r="CC76">
        <v>841818.1</v>
      </c>
      <c r="CD76">
        <v>13.5</v>
      </c>
      <c r="CE76">
        <v>30.3</v>
      </c>
      <c r="CF76">
        <v>253.8</v>
      </c>
      <c r="CG76">
        <v>55.1</v>
      </c>
      <c r="CH76">
        <v>21.4</v>
      </c>
      <c r="CI76">
        <v>33.799999999999997</v>
      </c>
      <c r="CJ76">
        <v>930006.9</v>
      </c>
      <c r="CK76">
        <v>14.71</v>
      </c>
      <c r="CL76">
        <v>32.1</v>
      </c>
      <c r="CM76">
        <v>293.39999999999998</v>
      </c>
      <c r="CN76">
        <v>49.7</v>
      </c>
      <c r="CP76" s="3">
        <v>204.8839893083333</v>
      </c>
      <c r="CQ76" s="3">
        <v>357.71587473362189</v>
      </c>
      <c r="CR76" s="3">
        <v>322.98543302087501</v>
      </c>
      <c r="CS76" s="3">
        <v>251.33925340010413</v>
      </c>
      <c r="CT76" s="3">
        <v>238.07175714163543</v>
      </c>
      <c r="CU76" s="7">
        <v>0.06</v>
      </c>
      <c r="CV76" s="7">
        <v>0.14000000000000001</v>
      </c>
      <c r="CW76" s="7">
        <v>7.0000000000000007E-2</v>
      </c>
      <c r="CX76" s="7">
        <v>0.04</v>
      </c>
      <c r="CY76" s="3">
        <f t="shared" si="2"/>
        <v>93.797531130612526</v>
      </c>
      <c r="CZ76">
        <v>2505</v>
      </c>
      <c r="DA76">
        <v>2062</v>
      </c>
      <c r="DB76">
        <v>1031750</v>
      </c>
      <c r="DC76">
        <v>2372</v>
      </c>
      <c r="DE76" t="s">
        <v>146</v>
      </c>
      <c r="DK76" s="5">
        <v>1965.2094657953728</v>
      </c>
      <c r="DM76" s="5">
        <v>1342.9674363779457</v>
      </c>
    </row>
    <row r="77" spans="1:117" x14ac:dyDescent="0.25">
      <c r="A77" t="s">
        <v>105</v>
      </c>
      <c r="B77" t="s">
        <v>123</v>
      </c>
      <c r="C77">
        <v>118.30184800000001</v>
      </c>
      <c r="D77">
        <v>-32.790382000000001</v>
      </c>
      <c r="E77">
        <v>2016</v>
      </c>
      <c r="F77" t="s">
        <v>123</v>
      </c>
      <c r="G77" t="s">
        <v>141</v>
      </c>
      <c r="H77" t="s">
        <v>144</v>
      </c>
      <c r="I77">
        <v>22.8</v>
      </c>
      <c r="J77">
        <v>42.8</v>
      </c>
      <c r="K77">
        <v>813702.6</v>
      </c>
      <c r="L77">
        <v>14.46</v>
      </c>
      <c r="M77">
        <v>32.700000000000003</v>
      </c>
      <c r="N77">
        <v>265.2</v>
      </c>
      <c r="O77">
        <v>57.7</v>
      </c>
      <c r="P77">
        <v>23.1</v>
      </c>
      <c r="Q77">
        <v>10</v>
      </c>
      <c r="R77">
        <v>829501.4</v>
      </c>
      <c r="S77">
        <v>15.24</v>
      </c>
      <c r="T77">
        <v>33.4</v>
      </c>
      <c r="U77">
        <v>273.10000000000002</v>
      </c>
      <c r="V77">
        <v>49.4</v>
      </c>
      <c r="W77">
        <v>22.2</v>
      </c>
      <c r="X77">
        <v>18.2</v>
      </c>
      <c r="Y77">
        <v>464992.2</v>
      </c>
      <c r="Z77">
        <v>14.9</v>
      </c>
      <c r="AA77">
        <v>22.1</v>
      </c>
      <c r="AB77">
        <v>164.7</v>
      </c>
      <c r="AC77">
        <v>58</v>
      </c>
      <c r="AD77">
        <v>17.100000000000001</v>
      </c>
      <c r="AE77">
        <v>24.8</v>
      </c>
      <c r="AF77">
        <v>281240.5</v>
      </c>
      <c r="AG77">
        <v>10.76</v>
      </c>
      <c r="AH77">
        <v>19.2</v>
      </c>
      <c r="AI77">
        <v>72.2</v>
      </c>
      <c r="AJ77">
        <v>74.2</v>
      </c>
      <c r="AK77">
        <v>12.6</v>
      </c>
      <c r="AL77">
        <v>25.2</v>
      </c>
      <c r="AM77">
        <v>346358.2</v>
      </c>
      <c r="AN77">
        <v>9.34</v>
      </c>
      <c r="AO77">
        <v>14.1</v>
      </c>
      <c r="AP77">
        <v>76.099999999999994</v>
      </c>
      <c r="AQ77">
        <v>78.3</v>
      </c>
      <c r="AR77">
        <v>10.4</v>
      </c>
      <c r="AS77">
        <v>30</v>
      </c>
      <c r="AT77">
        <v>276799</v>
      </c>
      <c r="AU77">
        <v>6.98</v>
      </c>
      <c r="AV77">
        <v>11.4</v>
      </c>
      <c r="AW77">
        <v>50.3</v>
      </c>
      <c r="AX77">
        <v>82.9</v>
      </c>
      <c r="AY77">
        <v>9.1</v>
      </c>
      <c r="AZ77">
        <v>36.6</v>
      </c>
      <c r="BA77">
        <v>326141.59999999998</v>
      </c>
      <c r="BB77">
        <v>10.18</v>
      </c>
      <c r="BC77">
        <v>9.8000000000000007</v>
      </c>
      <c r="BD77">
        <v>61.5</v>
      </c>
      <c r="BE77">
        <v>81.5</v>
      </c>
      <c r="BF77">
        <v>9.4</v>
      </c>
      <c r="BG77">
        <v>56.2</v>
      </c>
      <c r="BH77">
        <v>378164.6</v>
      </c>
      <c r="BI77">
        <v>10.48</v>
      </c>
      <c r="BJ77">
        <v>10.5</v>
      </c>
      <c r="BK77">
        <v>71.099999999999994</v>
      </c>
      <c r="BL77">
        <v>82.8</v>
      </c>
      <c r="BM77">
        <v>10.199999999999999</v>
      </c>
      <c r="BN77">
        <v>24.4</v>
      </c>
      <c r="BO77">
        <v>538578</v>
      </c>
      <c r="BP77">
        <v>10.33</v>
      </c>
      <c r="BQ77">
        <v>12.1</v>
      </c>
      <c r="BR77">
        <v>110.4</v>
      </c>
      <c r="BS77">
        <v>74.400000000000006</v>
      </c>
      <c r="BT77">
        <v>14.4</v>
      </c>
      <c r="BU77">
        <v>11</v>
      </c>
      <c r="BV77">
        <v>773140.8</v>
      </c>
      <c r="BW77">
        <v>12.56</v>
      </c>
      <c r="BX77">
        <v>18.2</v>
      </c>
      <c r="BY77">
        <v>206.3</v>
      </c>
      <c r="BZ77">
        <v>60.4</v>
      </c>
      <c r="CA77">
        <v>19.5</v>
      </c>
      <c r="CB77">
        <v>1.2</v>
      </c>
      <c r="CC77">
        <v>909484.6</v>
      </c>
      <c r="CD77">
        <v>12.57</v>
      </c>
      <c r="CE77">
        <v>28.1</v>
      </c>
      <c r="CF77">
        <v>273</v>
      </c>
      <c r="CG77">
        <v>48.9</v>
      </c>
      <c r="CH77">
        <v>20.6</v>
      </c>
      <c r="CI77">
        <v>31.4</v>
      </c>
      <c r="CJ77">
        <v>977995.9</v>
      </c>
      <c r="CK77">
        <v>15.43</v>
      </c>
      <c r="CL77">
        <v>28.4</v>
      </c>
      <c r="CM77">
        <v>306.3</v>
      </c>
      <c r="CN77">
        <v>49.5</v>
      </c>
      <c r="CP77" s="3">
        <v>133.12695639999998</v>
      </c>
      <c r="CQ77" s="3">
        <v>265.94031967119787</v>
      </c>
      <c r="CR77" s="3">
        <v>244.36784107392498</v>
      </c>
      <c r="CS77" s="3">
        <v>168.48709864302083</v>
      </c>
      <c r="CT77" s="3">
        <v>219.627445633875</v>
      </c>
      <c r="CU77" s="7">
        <v>0.06</v>
      </c>
      <c r="CV77" s="7">
        <v>0.14000000000000001</v>
      </c>
      <c r="CW77" s="7">
        <v>7.0000000000000007E-2</v>
      </c>
      <c r="CX77" s="7">
        <v>0.04</v>
      </c>
      <c r="CY77" s="3">
        <f t="shared" si="2"/>
        <v>70.747111660987827</v>
      </c>
      <c r="CZ77">
        <v>2387</v>
      </c>
      <c r="DA77">
        <v>1552</v>
      </c>
      <c r="DB77">
        <v>722700</v>
      </c>
      <c r="DC77">
        <v>2010</v>
      </c>
      <c r="DE77" t="s">
        <v>146</v>
      </c>
      <c r="DK77" s="5">
        <v>1872.6367244924372</v>
      </c>
      <c r="DM77" s="5">
        <v>1010.8076921719552</v>
      </c>
    </row>
    <row r="78" spans="1:117" x14ac:dyDescent="0.25">
      <c r="A78" t="s">
        <v>105</v>
      </c>
      <c r="B78" t="s">
        <v>123</v>
      </c>
      <c r="C78">
        <v>118.30184800000001</v>
      </c>
      <c r="D78">
        <v>-32.790382000000001</v>
      </c>
      <c r="E78">
        <v>2017</v>
      </c>
      <c r="F78" t="s">
        <v>123</v>
      </c>
      <c r="G78" t="s">
        <v>141</v>
      </c>
      <c r="H78" t="s">
        <v>144</v>
      </c>
      <c r="I78">
        <v>23.1</v>
      </c>
      <c r="J78">
        <v>21.6</v>
      </c>
      <c r="K78">
        <v>944211.2</v>
      </c>
      <c r="L78">
        <v>14.45</v>
      </c>
      <c r="M78">
        <v>31.5</v>
      </c>
      <c r="N78">
        <v>318.5</v>
      </c>
      <c r="O78">
        <v>47.3</v>
      </c>
      <c r="P78">
        <v>21</v>
      </c>
      <c r="Q78">
        <v>121.2</v>
      </c>
      <c r="R78">
        <v>650231.1</v>
      </c>
      <c r="S78">
        <v>15.13</v>
      </c>
      <c r="T78">
        <v>24.8</v>
      </c>
      <c r="U78">
        <v>187</v>
      </c>
      <c r="V78">
        <v>63.4</v>
      </c>
      <c r="W78">
        <v>19.8</v>
      </c>
      <c r="X78">
        <v>31.2</v>
      </c>
      <c r="Y78">
        <v>654237.1</v>
      </c>
      <c r="Z78">
        <v>14.21</v>
      </c>
      <c r="AA78">
        <v>23.5</v>
      </c>
      <c r="AB78">
        <v>201.7</v>
      </c>
      <c r="AC78">
        <v>61.8</v>
      </c>
      <c r="AD78">
        <v>17.7</v>
      </c>
      <c r="AE78">
        <v>1.4</v>
      </c>
      <c r="AF78">
        <v>519835.4</v>
      </c>
      <c r="AG78">
        <v>10.34</v>
      </c>
      <c r="AH78">
        <v>21.2</v>
      </c>
      <c r="AI78">
        <v>150</v>
      </c>
      <c r="AJ78">
        <v>62.1</v>
      </c>
      <c r="AK78">
        <v>13.7</v>
      </c>
      <c r="AL78">
        <v>21.6</v>
      </c>
      <c r="AM78">
        <v>362244.1</v>
      </c>
      <c r="AN78">
        <v>9.15</v>
      </c>
      <c r="AO78">
        <v>15.4</v>
      </c>
      <c r="AP78">
        <v>95.4</v>
      </c>
      <c r="AQ78">
        <v>70.8</v>
      </c>
      <c r="AR78">
        <v>11.2</v>
      </c>
      <c r="AS78">
        <v>30</v>
      </c>
      <c r="AT78">
        <v>301226.5</v>
      </c>
      <c r="AU78">
        <v>7.17</v>
      </c>
      <c r="AV78">
        <v>12.4</v>
      </c>
      <c r="AW78">
        <v>71.5</v>
      </c>
      <c r="AX78">
        <v>77.400000000000006</v>
      </c>
      <c r="AY78">
        <v>9.6999999999999993</v>
      </c>
      <c r="AZ78">
        <v>43.2</v>
      </c>
      <c r="BA78">
        <v>302598.8</v>
      </c>
      <c r="BB78">
        <v>11.28</v>
      </c>
      <c r="BC78">
        <v>10.3</v>
      </c>
      <c r="BD78">
        <v>45.5</v>
      </c>
      <c r="BE78">
        <v>97</v>
      </c>
      <c r="BF78">
        <v>10.5</v>
      </c>
      <c r="BG78">
        <v>42</v>
      </c>
      <c r="BH78">
        <v>387017.9</v>
      </c>
      <c r="BI78">
        <v>10.81</v>
      </c>
      <c r="BJ78">
        <v>11.7</v>
      </c>
      <c r="BK78">
        <v>77.400000000000006</v>
      </c>
      <c r="BL78">
        <v>83.1</v>
      </c>
      <c r="BM78">
        <v>12.4</v>
      </c>
      <c r="BN78">
        <v>41.4</v>
      </c>
      <c r="BO78">
        <v>499816.7</v>
      </c>
      <c r="BP78">
        <v>8.32</v>
      </c>
      <c r="BQ78">
        <v>15.5</v>
      </c>
      <c r="BR78">
        <v>111.9</v>
      </c>
      <c r="BS78">
        <v>75</v>
      </c>
      <c r="BT78">
        <v>15.5</v>
      </c>
      <c r="BU78">
        <v>31.8</v>
      </c>
      <c r="BV78">
        <v>729565.1</v>
      </c>
      <c r="BW78">
        <v>11.23</v>
      </c>
      <c r="BX78">
        <v>19.899999999999999</v>
      </c>
      <c r="BY78">
        <v>189.1</v>
      </c>
      <c r="BZ78">
        <v>65.400000000000006</v>
      </c>
      <c r="CA78">
        <v>20.2</v>
      </c>
      <c r="CB78">
        <v>24.6</v>
      </c>
      <c r="CC78">
        <v>815585.8</v>
      </c>
      <c r="CD78">
        <v>13.28</v>
      </c>
      <c r="CE78">
        <v>25.9</v>
      </c>
      <c r="CF78">
        <v>251.1</v>
      </c>
      <c r="CG78">
        <v>54.4</v>
      </c>
      <c r="CH78">
        <v>21.8</v>
      </c>
      <c r="CI78">
        <v>9.8000000000000007</v>
      </c>
      <c r="CJ78">
        <v>959789.2</v>
      </c>
      <c r="CK78">
        <v>14.4</v>
      </c>
      <c r="CL78">
        <v>29.1</v>
      </c>
      <c r="CM78">
        <v>299.8</v>
      </c>
      <c r="CN78">
        <v>50.4</v>
      </c>
      <c r="CP78" s="3">
        <v>119.07146077499999</v>
      </c>
      <c r="CQ78" s="3">
        <v>235.14453102913441</v>
      </c>
      <c r="CR78" s="3">
        <v>211.74875985799997</v>
      </c>
      <c r="CS78" s="3">
        <v>150.26687985202918</v>
      </c>
      <c r="CT78" s="3">
        <v>166.58352970400003</v>
      </c>
      <c r="CU78" s="7">
        <v>0.06</v>
      </c>
      <c r="CV78" s="7">
        <v>0.14000000000000001</v>
      </c>
      <c r="CW78" s="7">
        <v>7.0000000000000007E-2</v>
      </c>
      <c r="CX78" s="7">
        <v>0.04</v>
      </c>
      <c r="CY78" s="3">
        <f t="shared" si="2"/>
        <v>60.935521019670105</v>
      </c>
      <c r="CZ78">
        <v>2361</v>
      </c>
      <c r="DA78">
        <v>1647</v>
      </c>
      <c r="DB78">
        <v>796380</v>
      </c>
      <c r="DC78">
        <v>2368</v>
      </c>
      <c r="DE78" t="s">
        <v>146</v>
      </c>
      <c r="DK78" s="5">
        <v>1852.2393408155192</v>
      </c>
      <c r="DM78" s="5">
        <v>1072.680585700522</v>
      </c>
    </row>
    <row r="79" spans="1:117" x14ac:dyDescent="0.25">
      <c r="A79" t="s">
        <v>105</v>
      </c>
      <c r="B79" t="s">
        <v>123</v>
      </c>
      <c r="C79">
        <v>118.30184800000001</v>
      </c>
      <c r="D79">
        <v>-32.790382000000001</v>
      </c>
      <c r="E79">
        <v>2018</v>
      </c>
      <c r="F79" t="s">
        <v>123</v>
      </c>
      <c r="G79" t="s">
        <v>141</v>
      </c>
      <c r="H79" t="s">
        <v>144</v>
      </c>
      <c r="I79">
        <v>22.5</v>
      </c>
      <c r="J79">
        <v>43.4</v>
      </c>
      <c r="K79">
        <v>917225</v>
      </c>
      <c r="L79">
        <v>16.41</v>
      </c>
      <c r="M79">
        <v>29.4</v>
      </c>
      <c r="N79">
        <v>297.39999999999998</v>
      </c>
      <c r="O79">
        <v>55.9</v>
      </c>
      <c r="P79">
        <v>22.5</v>
      </c>
      <c r="Q79">
        <v>52</v>
      </c>
      <c r="R79">
        <v>687739.7</v>
      </c>
      <c r="S79">
        <v>14.75</v>
      </c>
      <c r="T79">
        <v>16.600000000000001</v>
      </c>
      <c r="U79">
        <v>224.4</v>
      </c>
      <c r="V79">
        <v>58.9</v>
      </c>
      <c r="W79">
        <v>21.6</v>
      </c>
      <c r="X79">
        <v>0.6</v>
      </c>
      <c r="Y79">
        <v>559687.30000000005</v>
      </c>
      <c r="Z79">
        <v>14.63</v>
      </c>
      <c r="AB79">
        <v>189.9</v>
      </c>
      <c r="AC79">
        <v>55.9</v>
      </c>
      <c r="AD79">
        <v>17.3</v>
      </c>
      <c r="AE79">
        <v>1.4</v>
      </c>
      <c r="AF79">
        <v>411886.6</v>
      </c>
      <c r="AG79">
        <v>10.53</v>
      </c>
      <c r="AH79">
        <v>21.3</v>
      </c>
      <c r="AI79">
        <v>120</v>
      </c>
      <c r="AJ79">
        <v>64.599999999999994</v>
      </c>
      <c r="AK79">
        <v>13.6</v>
      </c>
      <c r="AL79">
        <v>10.6</v>
      </c>
      <c r="AM79">
        <v>396391.7</v>
      </c>
      <c r="AN79">
        <v>10.76</v>
      </c>
      <c r="AO79">
        <v>16.2</v>
      </c>
      <c r="AP79">
        <v>120.5</v>
      </c>
      <c r="AQ79">
        <v>62.6</v>
      </c>
      <c r="AR79">
        <v>10.5</v>
      </c>
      <c r="AS79">
        <v>45.6</v>
      </c>
      <c r="AT79">
        <v>275878.90000000002</v>
      </c>
      <c r="AU79">
        <v>8.44</v>
      </c>
      <c r="AV79">
        <v>11.5</v>
      </c>
      <c r="AW79">
        <v>58.1</v>
      </c>
      <c r="AX79">
        <v>82.2</v>
      </c>
      <c r="AY79">
        <v>10.6</v>
      </c>
      <c r="AZ79">
        <v>44</v>
      </c>
      <c r="BA79">
        <v>324652.09999999998</v>
      </c>
      <c r="BB79">
        <v>11.94</v>
      </c>
      <c r="BC79">
        <v>10.8</v>
      </c>
      <c r="BD79">
        <v>68.3</v>
      </c>
      <c r="BE79">
        <v>82.3</v>
      </c>
      <c r="BF79">
        <v>9.4</v>
      </c>
      <c r="BG79">
        <v>40.4</v>
      </c>
      <c r="BH79">
        <v>405302.8</v>
      </c>
      <c r="BI79">
        <v>10.7</v>
      </c>
      <c r="BJ79">
        <v>10.8</v>
      </c>
      <c r="BK79">
        <v>81.8</v>
      </c>
      <c r="BL79">
        <v>82.5</v>
      </c>
      <c r="BM79">
        <v>11.6</v>
      </c>
      <c r="BN79">
        <v>2.2000000000000002</v>
      </c>
      <c r="BO79">
        <v>547650.4</v>
      </c>
      <c r="BP79">
        <v>8.1999999999999993</v>
      </c>
      <c r="BQ79">
        <v>14.5</v>
      </c>
      <c r="BR79">
        <v>123.2</v>
      </c>
      <c r="BS79">
        <v>73</v>
      </c>
      <c r="BT79">
        <v>16</v>
      </c>
      <c r="BU79">
        <v>15.4</v>
      </c>
      <c r="BV79">
        <v>648623.9</v>
      </c>
      <c r="BW79">
        <v>11.39</v>
      </c>
      <c r="BX79">
        <v>19.7</v>
      </c>
      <c r="BY79">
        <v>173.9</v>
      </c>
      <c r="BZ79">
        <v>67.5</v>
      </c>
      <c r="CA79">
        <v>17.7</v>
      </c>
      <c r="CB79">
        <v>25.8</v>
      </c>
      <c r="CC79">
        <v>822119.8</v>
      </c>
      <c r="CD79">
        <v>12.11</v>
      </c>
      <c r="CE79">
        <v>23.7</v>
      </c>
      <c r="CF79">
        <v>227.3</v>
      </c>
      <c r="CG79">
        <v>57.8</v>
      </c>
      <c r="CH79">
        <v>22.1</v>
      </c>
      <c r="CI79">
        <v>3</v>
      </c>
      <c r="CJ79">
        <v>939025.4</v>
      </c>
      <c r="CK79">
        <v>13.3</v>
      </c>
      <c r="CL79">
        <v>28.9</v>
      </c>
      <c r="CM79">
        <v>297.7</v>
      </c>
      <c r="CN79">
        <v>49.4</v>
      </c>
      <c r="CP79" s="3">
        <v>149.45420497500001</v>
      </c>
      <c r="CQ79" s="3">
        <v>274.57347051901041</v>
      </c>
      <c r="CR79" s="3">
        <v>237.4236465424917</v>
      </c>
      <c r="CS79" s="3">
        <v>174.41377918435418</v>
      </c>
      <c r="CT79" s="3">
        <v>166.56083829114584</v>
      </c>
      <c r="CU79" s="7">
        <v>0.06</v>
      </c>
      <c r="CV79" s="7">
        <v>0.14000000000000001</v>
      </c>
      <c r="CW79" s="7">
        <v>7.0000000000000007E-2</v>
      </c>
      <c r="CX79" s="7">
        <v>0.04</v>
      </c>
      <c r="CY79" s="3">
        <f t="shared" si="2"/>
        <v>68.585116821640085</v>
      </c>
      <c r="CZ79">
        <v>1848</v>
      </c>
      <c r="DA79">
        <v>1507</v>
      </c>
      <c r="DB79">
        <v>721140</v>
      </c>
      <c r="DC79">
        <v>1837</v>
      </c>
      <c r="DE79" t="s">
        <v>146</v>
      </c>
      <c r="DK79" s="5">
        <v>1449.7832705747901</v>
      </c>
      <c r="DM79" s="5">
        <v>981.49947944789722</v>
      </c>
    </row>
    <row r="80" spans="1:117" x14ac:dyDescent="0.25">
      <c r="A80" t="s">
        <v>105</v>
      </c>
      <c r="B80" t="s">
        <v>123</v>
      </c>
      <c r="C80">
        <v>118.30184800000001</v>
      </c>
      <c r="D80">
        <v>-32.790382000000001</v>
      </c>
      <c r="E80">
        <v>2019</v>
      </c>
      <c r="F80" t="s">
        <v>123</v>
      </c>
      <c r="G80" t="s">
        <v>141</v>
      </c>
      <c r="H80" t="s">
        <v>144</v>
      </c>
      <c r="I80">
        <v>22.9</v>
      </c>
      <c r="J80">
        <v>0</v>
      </c>
      <c r="K80">
        <v>978671.1</v>
      </c>
      <c r="L80">
        <v>14.78</v>
      </c>
      <c r="M80">
        <v>32.200000000000003</v>
      </c>
      <c r="N80">
        <v>320.39999999999998</v>
      </c>
      <c r="O80">
        <v>49.3</v>
      </c>
      <c r="P80">
        <v>23.1</v>
      </c>
      <c r="Q80">
        <v>0</v>
      </c>
      <c r="R80">
        <v>786390.5</v>
      </c>
      <c r="S80">
        <v>15.05</v>
      </c>
      <c r="T80">
        <v>31.6</v>
      </c>
      <c r="U80">
        <v>261.39999999999998</v>
      </c>
      <c r="V80">
        <v>52</v>
      </c>
      <c r="W80">
        <v>21</v>
      </c>
      <c r="X80">
        <v>5</v>
      </c>
      <c r="Y80">
        <v>644769.9</v>
      </c>
      <c r="Z80">
        <v>13.54</v>
      </c>
      <c r="AA80">
        <v>27.3</v>
      </c>
      <c r="AB80">
        <v>204.6</v>
      </c>
      <c r="AC80">
        <v>59.8</v>
      </c>
      <c r="AD80">
        <v>16.8</v>
      </c>
      <c r="AE80">
        <v>24.4</v>
      </c>
      <c r="AF80">
        <v>493524.1</v>
      </c>
      <c r="AG80">
        <v>11.59</v>
      </c>
      <c r="AH80">
        <v>20.3</v>
      </c>
      <c r="AI80">
        <v>147.19999999999999</v>
      </c>
      <c r="AJ80">
        <v>63.1</v>
      </c>
      <c r="AK80">
        <v>11.7</v>
      </c>
      <c r="AL80">
        <v>12</v>
      </c>
      <c r="AM80">
        <v>415293.9</v>
      </c>
      <c r="AN80">
        <v>8.58</v>
      </c>
      <c r="AO80">
        <v>15</v>
      </c>
      <c r="AP80">
        <v>106.2</v>
      </c>
      <c r="AQ80">
        <v>67.2</v>
      </c>
      <c r="AR80">
        <v>10.8</v>
      </c>
      <c r="AS80">
        <v>34</v>
      </c>
      <c r="AT80">
        <v>283119.90000000002</v>
      </c>
      <c r="AU80">
        <v>11.85</v>
      </c>
      <c r="AV80">
        <v>12.1</v>
      </c>
      <c r="AW80">
        <v>72.599999999999994</v>
      </c>
      <c r="AX80">
        <v>75.599999999999994</v>
      </c>
      <c r="AY80">
        <v>10.1</v>
      </c>
      <c r="AZ80">
        <v>36.799999999999997</v>
      </c>
      <c r="BA80">
        <v>316453.7</v>
      </c>
      <c r="BB80">
        <v>8.2799999999999994</v>
      </c>
      <c r="BC80">
        <v>11.3</v>
      </c>
      <c r="BD80">
        <v>60.3</v>
      </c>
      <c r="BE80">
        <v>83.3</v>
      </c>
      <c r="BF80">
        <v>10.5</v>
      </c>
      <c r="BG80">
        <v>43</v>
      </c>
      <c r="BH80">
        <v>426795.7</v>
      </c>
      <c r="BI80">
        <v>9.11</v>
      </c>
      <c r="BJ80">
        <v>11.7</v>
      </c>
      <c r="BK80">
        <v>93.8</v>
      </c>
      <c r="BL80">
        <v>77</v>
      </c>
      <c r="BM80">
        <v>14.1</v>
      </c>
      <c r="BN80">
        <v>6.8</v>
      </c>
      <c r="BO80">
        <v>605083.4</v>
      </c>
      <c r="BP80">
        <v>9.7899999999999991</v>
      </c>
      <c r="BQ80">
        <v>16.5</v>
      </c>
      <c r="BR80">
        <v>150.19999999999999</v>
      </c>
      <c r="BS80">
        <v>67.8</v>
      </c>
      <c r="BT80">
        <v>17.100000000000001</v>
      </c>
      <c r="BU80">
        <v>14.2</v>
      </c>
      <c r="BV80">
        <v>770991.6</v>
      </c>
      <c r="BW80">
        <v>11.63</v>
      </c>
      <c r="BX80">
        <v>22.5</v>
      </c>
      <c r="BY80">
        <v>225</v>
      </c>
      <c r="BZ80">
        <v>57</v>
      </c>
      <c r="CA80">
        <v>19.8</v>
      </c>
      <c r="CB80">
        <v>0.4</v>
      </c>
      <c r="CC80">
        <v>906901.5</v>
      </c>
      <c r="CD80">
        <v>14.43</v>
      </c>
      <c r="CE80">
        <v>28.5</v>
      </c>
      <c r="CF80">
        <v>282.3</v>
      </c>
      <c r="CG80">
        <v>49</v>
      </c>
      <c r="CH80">
        <v>25.4</v>
      </c>
      <c r="CI80">
        <v>0.2</v>
      </c>
      <c r="CJ80">
        <v>854224.6</v>
      </c>
      <c r="CK80">
        <v>14.53</v>
      </c>
      <c r="CL80">
        <v>33.1</v>
      </c>
      <c r="CM80">
        <v>301.3</v>
      </c>
      <c r="CN80">
        <v>42.8</v>
      </c>
      <c r="CP80" s="3">
        <v>151.20769046666666</v>
      </c>
      <c r="CQ80" s="3">
        <v>267.33967790703502</v>
      </c>
      <c r="CR80" s="3">
        <v>246.94953969827165</v>
      </c>
      <c r="CS80" s="3">
        <v>186.82042264949916</v>
      </c>
      <c r="CT80" s="3">
        <v>164.67061180174997</v>
      </c>
      <c r="CU80" s="7">
        <v>0.06</v>
      </c>
      <c r="CV80" s="7">
        <v>0.14000000000000001</v>
      </c>
      <c r="CW80" s="7">
        <v>7.0000000000000007E-2</v>
      </c>
      <c r="CX80" s="7">
        <v>0.04</v>
      </c>
      <c r="CY80" s="3">
        <f t="shared" si="2"/>
        <v>70.277570289715072</v>
      </c>
      <c r="CZ80">
        <v>3132</v>
      </c>
      <c r="DA80">
        <v>1716</v>
      </c>
      <c r="DB80">
        <v>1037670</v>
      </c>
      <c r="DC80">
        <v>2915</v>
      </c>
      <c r="DE80" t="s">
        <v>146</v>
      </c>
      <c r="DK80" s="5">
        <v>2457.1002183118194</v>
      </c>
      <c r="DM80" s="5">
        <v>1117.6198452107442</v>
      </c>
    </row>
    <row r="81" spans="1:117" x14ac:dyDescent="0.25">
      <c r="A81" t="s">
        <v>105</v>
      </c>
      <c r="B81" t="s">
        <v>123</v>
      </c>
      <c r="C81">
        <v>118.30184800000001</v>
      </c>
      <c r="D81">
        <v>-32.790382000000001</v>
      </c>
      <c r="E81">
        <v>2020</v>
      </c>
      <c r="F81" t="s">
        <v>123</v>
      </c>
      <c r="G81" t="s">
        <v>141</v>
      </c>
      <c r="H81" t="s">
        <v>144</v>
      </c>
      <c r="I81">
        <v>23</v>
      </c>
      <c r="J81">
        <v>0.4</v>
      </c>
      <c r="K81">
        <v>960549.2</v>
      </c>
      <c r="L81">
        <v>16.37</v>
      </c>
      <c r="M81">
        <v>31.7</v>
      </c>
      <c r="N81">
        <v>321.5</v>
      </c>
      <c r="O81">
        <v>49.6</v>
      </c>
      <c r="P81">
        <v>22.9</v>
      </c>
      <c r="Q81">
        <v>38.6</v>
      </c>
      <c r="R81">
        <v>657853.19999999995</v>
      </c>
      <c r="S81">
        <v>15.78</v>
      </c>
      <c r="T81">
        <v>24.3</v>
      </c>
      <c r="U81">
        <v>227.6</v>
      </c>
      <c r="V81">
        <v>57.8</v>
      </c>
      <c r="W81">
        <v>15.4</v>
      </c>
      <c r="X81">
        <v>10.199999999999999</v>
      </c>
      <c r="Y81">
        <v>893648.9</v>
      </c>
      <c r="Z81">
        <v>13.29</v>
      </c>
      <c r="AA81">
        <v>18.100000000000001</v>
      </c>
      <c r="AB81">
        <v>144.9</v>
      </c>
      <c r="AC81">
        <v>69.5</v>
      </c>
      <c r="AD81">
        <v>18</v>
      </c>
      <c r="AE81">
        <v>19.2</v>
      </c>
      <c r="AF81">
        <v>473656.4</v>
      </c>
      <c r="AG81">
        <v>11.11</v>
      </c>
      <c r="AH81">
        <v>13.8</v>
      </c>
      <c r="AI81">
        <v>149.4</v>
      </c>
      <c r="AJ81">
        <v>60.6</v>
      </c>
      <c r="AK81">
        <v>12.8</v>
      </c>
      <c r="AL81">
        <v>41</v>
      </c>
      <c r="AM81">
        <v>367163.9</v>
      </c>
      <c r="AN81">
        <v>12.36</v>
      </c>
      <c r="AO81">
        <v>8.1999999999999993</v>
      </c>
      <c r="AP81">
        <v>105</v>
      </c>
      <c r="AQ81">
        <v>69.599999999999994</v>
      </c>
      <c r="AR81">
        <v>11.7</v>
      </c>
      <c r="AS81">
        <v>42</v>
      </c>
      <c r="AT81">
        <v>294198.7</v>
      </c>
      <c r="AU81">
        <v>9.8699999999999992</v>
      </c>
      <c r="AV81">
        <v>12.3</v>
      </c>
      <c r="AW81">
        <v>67.8</v>
      </c>
      <c r="AX81">
        <v>77.7</v>
      </c>
      <c r="AY81">
        <v>9.9</v>
      </c>
      <c r="AZ81">
        <v>32</v>
      </c>
      <c r="BA81">
        <v>352189.5</v>
      </c>
      <c r="BB81">
        <v>8.5399999999999991</v>
      </c>
      <c r="BC81">
        <v>11.1</v>
      </c>
      <c r="BD81">
        <v>71.8</v>
      </c>
      <c r="BE81">
        <v>82.3</v>
      </c>
      <c r="BF81">
        <v>10.4</v>
      </c>
      <c r="BG81">
        <v>24</v>
      </c>
      <c r="BH81">
        <v>448367.9</v>
      </c>
      <c r="BI81">
        <v>10.09</v>
      </c>
      <c r="BJ81">
        <v>12.5</v>
      </c>
      <c r="BK81">
        <v>95.6</v>
      </c>
      <c r="BL81">
        <v>78.3</v>
      </c>
      <c r="BM81">
        <v>12.9</v>
      </c>
      <c r="BN81">
        <v>21.2</v>
      </c>
      <c r="BO81">
        <v>583836.9</v>
      </c>
      <c r="BP81">
        <v>11.17</v>
      </c>
      <c r="BQ81">
        <v>15.8</v>
      </c>
      <c r="BR81">
        <v>149.30000000000001</v>
      </c>
      <c r="BS81">
        <v>69.400000000000006</v>
      </c>
      <c r="BT81">
        <v>16.7</v>
      </c>
      <c r="BU81">
        <v>5.2</v>
      </c>
      <c r="BV81">
        <v>758038.9</v>
      </c>
      <c r="BW81">
        <v>12.09</v>
      </c>
      <c r="BX81">
        <v>21.1</v>
      </c>
      <c r="BY81">
        <v>216.6</v>
      </c>
      <c r="BZ81">
        <v>57</v>
      </c>
      <c r="CA81">
        <v>17.899999999999999</v>
      </c>
      <c r="CB81">
        <v>28</v>
      </c>
      <c r="CC81">
        <v>798122.6</v>
      </c>
      <c r="CD81">
        <v>13.08</v>
      </c>
      <c r="CE81">
        <v>23.1</v>
      </c>
      <c r="CF81">
        <v>235.4</v>
      </c>
      <c r="CG81">
        <v>57.4</v>
      </c>
      <c r="CH81">
        <v>21.7</v>
      </c>
      <c r="CI81">
        <v>3</v>
      </c>
      <c r="CJ81">
        <v>970235.6</v>
      </c>
      <c r="CK81">
        <v>15.42</v>
      </c>
      <c r="CL81">
        <v>28.4</v>
      </c>
      <c r="CM81">
        <v>312.5</v>
      </c>
      <c r="CN81">
        <v>46.5</v>
      </c>
      <c r="CP81" s="3">
        <v>137.12151142499999</v>
      </c>
      <c r="CQ81" s="3">
        <v>183.94377395835087</v>
      </c>
      <c r="CR81" s="3">
        <v>171.50265380089249</v>
      </c>
      <c r="CS81" s="3">
        <v>153.47587761539251</v>
      </c>
      <c r="CT81" s="3">
        <v>168.62831412656331</v>
      </c>
      <c r="CU81" s="7">
        <v>0.06</v>
      </c>
      <c r="CV81" s="7">
        <v>0.14000000000000001</v>
      </c>
      <c r="CW81" s="7">
        <v>7.0000000000000007E-2</v>
      </c>
      <c r="CX81" s="7">
        <v>0.04</v>
      </c>
      <c r="CY81" s="3">
        <f t="shared" si="2"/>
        <v>52.535441967766019</v>
      </c>
      <c r="CZ81">
        <v>1591</v>
      </c>
      <c r="DA81">
        <v>1677</v>
      </c>
      <c r="DB81">
        <v>864980</v>
      </c>
      <c r="DC81">
        <v>1861</v>
      </c>
      <c r="DE81" t="s">
        <v>146</v>
      </c>
      <c r="DK81" s="5">
        <v>1248.1629780760234</v>
      </c>
      <c r="DM81" s="5">
        <v>1092.2193941832275</v>
      </c>
    </row>
    <row r="82" spans="1:117" x14ac:dyDescent="0.25">
      <c r="A82" t="s">
        <v>106</v>
      </c>
      <c r="B82" t="s">
        <v>124</v>
      </c>
      <c r="C82">
        <v>118.226202</v>
      </c>
      <c r="D82">
        <v>-31.493127999999999</v>
      </c>
      <c r="E82">
        <v>2013</v>
      </c>
      <c r="F82" t="s">
        <v>124</v>
      </c>
      <c r="G82" t="s">
        <v>141</v>
      </c>
      <c r="H82" t="s">
        <v>144</v>
      </c>
      <c r="I82">
        <v>25.7</v>
      </c>
      <c r="J82">
        <v>59.6</v>
      </c>
      <c r="K82">
        <v>948398.6</v>
      </c>
      <c r="L82">
        <v>15.6</v>
      </c>
      <c r="M82">
        <v>32.6</v>
      </c>
      <c r="N82">
        <v>332.9</v>
      </c>
      <c r="O82">
        <v>44.2</v>
      </c>
      <c r="P82">
        <v>26.6</v>
      </c>
      <c r="Q82">
        <v>2</v>
      </c>
      <c r="R82">
        <v>835098.8</v>
      </c>
      <c r="S82">
        <v>14.45</v>
      </c>
      <c r="T82">
        <v>34</v>
      </c>
      <c r="U82">
        <v>312</v>
      </c>
      <c r="V82">
        <v>34</v>
      </c>
      <c r="W82">
        <v>20.8</v>
      </c>
      <c r="X82">
        <v>52.4</v>
      </c>
      <c r="Y82">
        <v>686779</v>
      </c>
      <c r="Z82">
        <v>12.04</v>
      </c>
      <c r="AA82">
        <v>26.3</v>
      </c>
      <c r="AB82">
        <v>215</v>
      </c>
      <c r="AC82">
        <v>56.9</v>
      </c>
      <c r="AD82">
        <v>21.7</v>
      </c>
      <c r="AE82">
        <v>11.2</v>
      </c>
      <c r="AF82">
        <v>490927.4</v>
      </c>
      <c r="AG82">
        <v>9.9</v>
      </c>
      <c r="AH82">
        <v>24.6</v>
      </c>
      <c r="AI82">
        <v>175</v>
      </c>
      <c r="AJ82">
        <v>52.4</v>
      </c>
      <c r="AK82">
        <v>14.7</v>
      </c>
      <c r="AL82">
        <v>42.6</v>
      </c>
      <c r="AM82">
        <v>367174.3</v>
      </c>
      <c r="AN82">
        <v>9</v>
      </c>
      <c r="AO82">
        <v>4</v>
      </c>
      <c r="AP82">
        <v>93.1</v>
      </c>
      <c r="AQ82">
        <v>71.3</v>
      </c>
      <c r="AR82">
        <v>11</v>
      </c>
      <c r="AS82">
        <v>9.4</v>
      </c>
      <c r="AT82">
        <v>325504.3</v>
      </c>
      <c r="AU82">
        <v>7.4</v>
      </c>
      <c r="AV82">
        <v>12.7</v>
      </c>
      <c r="AW82">
        <v>72.900000000000006</v>
      </c>
      <c r="AX82">
        <v>74</v>
      </c>
      <c r="AY82">
        <v>10.4</v>
      </c>
      <c r="AZ82">
        <v>34</v>
      </c>
      <c r="BA82">
        <v>348585.4</v>
      </c>
      <c r="BB82">
        <v>8.1999999999999993</v>
      </c>
      <c r="BC82">
        <v>11.8</v>
      </c>
      <c r="BD82">
        <v>80.7</v>
      </c>
      <c r="BE82">
        <v>72.5</v>
      </c>
      <c r="BF82">
        <v>12.6</v>
      </c>
      <c r="BG82">
        <v>43.8</v>
      </c>
      <c r="BH82">
        <v>415704.3</v>
      </c>
      <c r="BI82">
        <v>8.7200000000000006</v>
      </c>
      <c r="BJ82">
        <v>14.2</v>
      </c>
      <c r="BK82">
        <v>91.7</v>
      </c>
      <c r="BL82">
        <v>78.3</v>
      </c>
      <c r="BM82">
        <v>13.8</v>
      </c>
      <c r="BN82">
        <v>47</v>
      </c>
      <c r="BO82">
        <v>545815.30000000005</v>
      </c>
      <c r="BP82">
        <v>10.58</v>
      </c>
      <c r="BQ82">
        <v>16.2</v>
      </c>
      <c r="BR82">
        <v>129</v>
      </c>
      <c r="BS82">
        <v>74.900000000000006</v>
      </c>
      <c r="BT82">
        <v>17.899999999999999</v>
      </c>
      <c r="BU82">
        <v>28.8</v>
      </c>
      <c r="BV82">
        <v>803568.2</v>
      </c>
      <c r="BW82">
        <v>8.81</v>
      </c>
      <c r="BX82">
        <v>23.7</v>
      </c>
      <c r="BY82">
        <v>224.1</v>
      </c>
      <c r="BZ82">
        <v>54.1</v>
      </c>
      <c r="CA82">
        <v>23.3</v>
      </c>
      <c r="CB82">
        <v>2.6</v>
      </c>
      <c r="CC82">
        <v>830587.8</v>
      </c>
      <c r="CD82">
        <v>13.08</v>
      </c>
      <c r="CE82">
        <v>30.8</v>
      </c>
      <c r="CF82">
        <v>284.7</v>
      </c>
      <c r="CG82">
        <v>41.2</v>
      </c>
      <c r="CH82">
        <v>25.2</v>
      </c>
      <c r="CI82">
        <v>1</v>
      </c>
      <c r="CJ82">
        <v>972606.7</v>
      </c>
      <c r="CK82">
        <v>13.27</v>
      </c>
      <c r="CL82">
        <v>34.200000000000003</v>
      </c>
      <c r="CM82">
        <v>342.1</v>
      </c>
      <c r="CN82">
        <v>35.4</v>
      </c>
      <c r="CP82" s="3">
        <v>344.25478384166667</v>
      </c>
      <c r="CQ82" s="3">
        <v>485.1324771412531</v>
      </c>
      <c r="CR82" s="3">
        <v>453.99912920229173</v>
      </c>
      <c r="CS82" s="3">
        <v>379.15555696741984</v>
      </c>
      <c r="CT82" s="3">
        <v>431.36433691804177</v>
      </c>
      <c r="CU82" s="7">
        <v>0.06</v>
      </c>
      <c r="CV82" s="7">
        <v>0.14000000000000001</v>
      </c>
      <c r="CW82" s="7">
        <v>7.0000000000000007E-2</v>
      </c>
      <c r="CX82" s="7">
        <v>0.04</v>
      </c>
      <c r="CY82" s="3">
        <f t="shared" si="2"/>
        <v>136.46328918123712</v>
      </c>
      <c r="CZ82">
        <v>1198</v>
      </c>
      <c r="DA82">
        <v>1617</v>
      </c>
      <c r="DB82">
        <v>619230</v>
      </c>
      <c r="DC82">
        <v>1156</v>
      </c>
      <c r="DD82" s="2">
        <f t="shared" ref="DD82:DD89" si="5">+CZ82/DA82</f>
        <v>0.74087816944959806</v>
      </c>
      <c r="DE82" t="s">
        <v>147</v>
      </c>
      <c r="DI82" s="2">
        <v>0.79048410753960219</v>
      </c>
      <c r="DK82" s="5">
        <v>1553.9888098862552</v>
      </c>
      <c r="DM82" s="5">
        <v>1965.8697689989956</v>
      </c>
    </row>
    <row r="83" spans="1:117" x14ac:dyDescent="0.25">
      <c r="A83" t="s">
        <v>106</v>
      </c>
      <c r="B83" t="s">
        <v>124</v>
      </c>
      <c r="C83">
        <v>118.226202</v>
      </c>
      <c r="D83">
        <v>-31.493127999999999</v>
      </c>
      <c r="E83">
        <v>2014</v>
      </c>
      <c r="F83" t="s">
        <v>124</v>
      </c>
      <c r="G83" t="s">
        <v>141</v>
      </c>
      <c r="H83" t="s">
        <v>144</v>
      </c>
      <c r="I83">
        <v>27.1</v>
      </c>
      <c r="J83">
        <v>12.2</v>
      </c>
      <c r="K83">
        <v>918420.1</v>
      </c>
      <c r="L83">
        <v>15.3</v>
      </c>
      <c r="M83">
        <v>36.1</v>
      </c>
      <c r="N83">
        <v>346.7</v>
      </c>
      <c r="O83">
        <v>39.6</v>
      </c>
      <c r="P83">
        <v>25.6</v>
      </c>
      <c r="Q83">
        <v>11.4</v>
      </c>
      <c r="R83">
        <v>752380.7</v>
      </c>
      <c r="S83">
        <v>15.18</v>
      </c>
      <c r="T83">
        <v>33.299999999999997</v>
      </c>
      <c r="U83">
        <v>267.3</v>
      </c>
      <c r="V83">
        <v>42.5</v>
      </c>
      <c r="W83">
        <v>24.1</v>
      </c>
      <c r="X83">
        <v>1.4</v>
      </c>
      <c r="Y83">
        <v>699262.6</v>
      </c>
      <c r="Z83">
        <v>12.56</v>
      </c>
      <c r="AA83">
        <v>30.9</v>
      </c>
      <c r="AB83">
        <v>259.2</v>
      </c>
      <c r="AC83">
        <v>42.2</v>
      </c>
      <c r="AD83">
        <v>19.5</v>
      </c>
      <c r="AE83">
        <v>27.8</v>
      </c>
      <c r="AF83">
        <v>509979.9</v>
      </c>
      <c r="AG83">
        <v>8.99</v>
      </c>
      <c r="AH83">
        <v>23.7</v>
      </c>
      <c r="AI83">
        <v>163.1</v>
      </c>
      <c r="AJ83">
        <v>54.1</v>
      </c>
      <c r="AK83">
        <v>14.4</v>
      </c>
      <c r="AL83">
        <v>54</v>
      </c>
      <c r="AM83">
        <v>350943.7</v>
      </c>
      <c r="AN83">
        <v>7.85</v>
      </c>
      <c r="AO83">
        <v>16.600000000000001</v>
      </c>
      <c r="AP83">
        <v>79</v>
      </c>
      <c r="AQ83">
        <v>77.7</v>
      </c>
      <c r="AR83">
        <v>11.1</v>
      </c>
      <c r="AS83">
        <v>22.4</v>
      </c>
      <c r="AT83">
        <v>325487.59999999998</v>
      </c>
      <c r="AU83">
        <v>8.49</v>
      </c>
      <c r="AV83">
        <v>12</v>
      </c>
      <c r="AW83">
        <v>82.3</v>
      </c>
      <c r="AX83">
        <v>71.3</v>
      </c>
      <c r="AY83">
        <v>10.6</v>
      </c>
      <c r="AZ83">
        <v>49.4</v>
      </c>
      <c r="BA83">
        <v>334361.7</v>
      </c>
      <c r="BB83">
        <v>8.4499999999999993</v>
      </c>
      <c r="BC83">
        <v>11.4</v>
      </c>
      <c r="BD83">
        <v>71</v>
      </c>
      <c r="BE83">
        <v>79.2</v>
      </c>
      <c r="BF83">
        <v>13.8</v>
      </c>
      <c r="BG83">
        <v>14.2</v>
      </c>
      <c r="BH83">
        <v>464068.2</v>
      </c>
      <c r="BI83">
        <v>8.57</v>
      </c>
      <c r="BJ83">
        <v>16.2</v>
      </c>
      <c r="BK83">
        <v>124.8</v>
      </c>
      <c r="BL83">
        <v>63.3</v>
      </c>
      <c r="BM83">
        <v>15.7</v>
      </c>
      <c r="BN83">
        <v>31.8</v>
      </c>
      <c r="BO83">
        <v>567424.4</v>
      </c>
      <c r="BP83">
        <v>10.09</v>
      </c>
      <c r="BQ83">
        <v>19.399999999999999</v>
      </c>
      <c r="BR83">
        <v>153.30000000000001</v>
      </c>
      <c r="BS83">
        <v>62.4</v>
      </c>
      <c r="BT83">
        <v>19.7</v>
      </c>
      <c r="BU83">
        <v>40.799999999999997</v>
      </c>
      <c r="BV83">
        <v>783164.2</v>
      </c>
      <c r="BW83">
        <v>10.29</v>
      </c>
      <c r="BX83">
        <v>25.7</v>
      </c>
      <c r="BY83">
        <v>240.5</v>
      </c>
      <c r="BZ83">
        <v>48.3</v>
      </c>
      <c r="CA83">
        <v>21.5</v>
      </c>
      <c r="CB83">
        <v>31.2</v>
      </c>
      <c r="CC83">
        <v>842976.7</v>
      </c>
      <c r="CD83">
        <v>11.76</v>
      </c>
      <c r="CE83">
        <v>28.2</v>
      </c>
      <c r="CF83">
        <v>270.89999999999998</v>
      </c>
      <c r="CG83">
        <v>44.8</v>
      </c>
      <c r="CH83">
        <v>23.8</v>
      </c>
      <c r="CI83">
        <v>5.4</v>
      </c>
      <c r="CJ83">
        <v>1032930.6</v>
      </c>
      <c r="CK83">
        <v>15.19</v>
      </c>
      <c r="CL83">
        <v>31.9</v>
      </c>
      <c r="CM83">
        <v>352.5</v>
      </c>
      <c r="CN83">
        <v>38.6</v>
      </c>
      <c r="CP83" s="3">
        <v>283.32452813333333</v>
      </c>
      <c r="CQ83" s="3">
        <v>368.2939243092531</v>
      </c>
      <c r="CR83" s="3">
        <v>330.59328943508331</v>
      </c>
      <c r="CS83" s="3">
        <v>279.4513129062604</v>
      </c>
      <c r="CT83" s="3">
        <v>325.40383910199995</v>
      </c>
      <c r="CU83" s="7">
        <v>0.06</v>
      </c>
      <c r="CV83" s="7">
        <v>0.14000000000000001</v>
      </c>
      <c r="CW83" s="7">
        <v>7.0000000000000007E-2</v>
      </c>
      <c r="CX83" s="7">
        <v>0.04</v>
      </c>
      <c r="CY83" s="3">
        <f t="shared" si="2"/>
        <v>100.95844144698508</v>
      </c>
      <c r="CZ83">
        <v>2476</v>
      </c>
      <c r="DA83">
        <v>1792</v>
      </c>
      <c r="DB83">
        <v>885690</v>
      </c>
      <c r="DC83">
        <v>2342</v>
      </c>
      <c r="DD83" s="2">
        <f t="shared" si="5"/>
        <v>1.3816964285714286</v>
      </c>
      <c r="DE83" t="s">
        <v>147</v>
      </c>
      <c r="DI83" s="2">
        <v>1.4742087339965069</v>
      </c>
      <c r="DK83" s="5">
        <v>3211.7498274443806</v>
      </c>
      <c r="DM83" s="5">
        <v>2178.6262375053802</v>
      </c>
    </row>
    <row r="84" spans="1:117" x14ac:dyDescent="0.25">
      <c r="A84" t="s">
        <v>106</v>
      </c>
      <c r="B84" t="s">
        <v>124</v>
      </c>
      <c r="C84">
        <v>118.226202</v>
      </c>
      <c r="D84">
        <v>-31.493127999999999</v>
      </c>
      <c r="E84">
        <v>2015</v>
      </c>
      <c r="F84" t="s">
        <v>124</v>
      </c>
      <c r="G84" t="s">
        <v>141</v>
      </c>
      <c r="H84" t="s">
        <v>144</v>
      </c>
      <c r="I84">
        <v>27.1</v>
      </c>
      <c r="J84">
        <v>0</v>
      </c>
      <c r="K84">
        <v>946823.1</v>
      </c>
      <c r="L84">
        <v>15.7</v>
      </c>
      <c r="M84">
        <v>34.6</v>
      </c>
      <c r="N84">
        <v>367.8</v>
      </c>
      <c r="O84">
        <v>31.4</v>
      </c>
      <c r="P84">
        <v>27.8</v>
      </c>
      <c r="Q84">
        <v>0.4</v>
      </c>
      <c r="R84">
        <v>699691.8</v>
      </c>
      <c r="S84">
        <v>13.17</v>
      </c>
      <c r="T84">
        <v>34.6</v>
      </c>
      <c r="U84">
        <v>270.7</v>
      </c>
      <c r="V84">
        <v>37.6</v>
      </c>
      <c r="W84">
        <v>22.5</v>
      </c>
      <c r="X84">
        <v>73.8</v>
      </c>
      <c r="Y84">
        <v>673996.9</v>
      </c>
      <c r="Z84">
        <v>12.59</v>
      </c>
      <c r="AA84">
        <v>27.3</v>
      </c>
      <c r="AB84">
        <v>232.6</v>
      </c>
      <c r="AC84">
        <v>51.8</v>
      </c>
      <c r="AD84">
        <v>17.8</v>
      </c>
      <c r="AE84">
        <v>21</v>
      </c>
      <c r="AF84">
        <v>477139</v>
      </c>
      <c r="AG84">
        <v>12.45</v>
      </c>
      <c r="AH84">
        <v>20.6</v>
      </c>
      <c r="AI84">
        <v>148.1</v>
      </c>
      <c r="AJ84">
        <v>58.5</v>
      </c>
      <c r="AK84">
        <v>13.5</v>
      </c>
      <c r="AL84">
        <v>12.8</v>
      </c>
      <c r="AM84">
        <v>440936.7</v>
      </c>
      <c r="AN84">
        <v>9.75</v>
      </c>
      <c r="AO84">
        <v>16.3</v>
      </c>
      <c r="AP84">
        <v>126.4</v>
      </c>
      <c r="AQ84">
        <v>61.7</v>
      </c>
      <c r="AR84">
        <v>12.9</v>
      </c>
      <c r="AS84">
        <v>35.4</v>
      </c>
      <c r="AT84">
        <v>323870.7</v>
      </c>
      <c r="AU84">
        <v>10.3</v>
      </c>
      <c r="AV84">
        <v>14</v>
      </c>
      <c r="AW84">
        <v>86.5</v>
      </c>
      <c r="AX84">
        <v>69.400000000000006</v>
      </c>
      <c r="AY84">
        <v>11.2</v>
      </c>
      <c r="AZ84">
        <v>67.2</v>
      </c>
      <c r="BA84">
        <v>314466.2</v>
      </c>
      <c r="BB84">
        <v>8.1199999999999992</v>
      </c>
      <c r="BC84">
        <v>12.5</v>
      </c>
      <c r="BD84">
        <v>74.2</v>
      </c>
      <c r="BE84">
        <v>73.599999999999994</v>
      </c>
      <c r="BF84">
        <v>11.7</v>
      </c>
      <c r="BG84">
        <v>79.2</v>
      </c>
      <c r="BH84">
        <v>437817.2</v>
      </c>
      <c r="BI84">
        <v>8.25</v>
      </c>
      <c r="BJ84">
        <v>13.8</v>
      </c>
      <c r="BK84">
        <v>89</v>
      </c>
      <c r="BL84">
        <v>76.2</v>
      </c>
      <c r="BM84">
        <v>13.9</v>
      </c>
      <c r="BN84">
        <v>6.4</v>
      </c>
      <c r="BO84">
        <v>626327.80000000005</v>
      </c>
      <c r="BP84">
        <v>7.93</v>
      </c>
      <c r="BQ84">
        <v>18.399999999999999</v>
      </c>
      <c r="BR84">
        <v>161.6</v>
      </c>
      <c r="BS84">
        <v>57.5</v>
      </c>
      <c r="BT84">
        <v>20.8</v>
      </c>
      <c r="BU84">
        <v>10.4</v>
      </c>
      <c r="BV84">
        <v>726492.6</v>
      </c>
      <c r="BW84">
        <v>9.24</v>
      </c>
      <c r="BX84">
        <v>26.6</v>
      </c>
      <c r="BY84">
        <v>229</v>
      </c>
      <c r="BZ84">
        <v>45.3</v>
      </c>
      <c r="CA84">
        <v>22.9</v>
      </c>
      <c r="CB84">
        <v>31.4</v>
      </c>
      <c r="CC84">
        <v>865656.1</v>
      </c>
      <c r="CD84">
        <v>10.7</v>
      </c>
      <c r="CE84">
        <v>29.6</v>
      </c>
      <c r="CF84">
        <v>273.60000000000002</v>
      </c>
      <c r="CG84">
        <v>44.1</v>
      </c>
      <c r="CH84">
        <v>24</v>
      </c>
      <c r="CI84">
        <v>6.6</v>
      </c>
      <c r="CJ84">
        <v>965387.5</v>
      </c>
      <c r="CK84">
        <v>13.22</v>
      </c>
      <c r="CL84">
        <v>31.2</v>
      </c>
      <c r="CM84">
        <v>328.9</v>
      </c>
      <c r="CN84">
        <v>38</v>
      </c>
      <c r="CP84" s="3">
        <v>204.8839893083333</v>
      </c>
      <c r="CQ84" s="3">
        <v>357.71587473362189</v>
      </c>
      <c r="CR84" s="3">
        <v>322.98543302087501</v>
      </c>
      <c r="CS84" s="3">
        <v>251.33925340010413</v>
      </c>
      <c r="CT84" s="3">
        <v>238.07175714163543</v>
      </c>
      <c r="CU84" s="7">
        <v>0.06</v>
      </c>
      <c r="CV84" s="7">
        <v>0.14000000000000001</v>
      </c>
      <c r="CW84" s="7">
        <v>7.0000000000000007E-2</v>
      </c>
      <c r="CX84" s="7">
        <v>0.04</v>
      </c>
      <c r="CY84" s="3">
        <f t="shared" si="2"/>
        <v>93.797531130612526</v>
      </c>
      <c r="CZ84">
        <v>2505</v>
      </c>
      <c r="DA84">
        <v>2062</v>
      </c>
      <c r="DB84">
        <v>1031750</v>
      </c>
      <c r="DC84">
        <v>2372</v>
      </c>
      <c r="DD84" s="2">
        <f t="shared" si="5"/>
        <v>1.2148399612027159</v>
      </c>
      <c r="DE84" t="s">
        <v>147</v>
      </c>
      <c r="DI84" s="2">
        <v>1.2961802927034467</v>
      </c>
      <c r="DK84" s="5">
        <v>3249.3672527254339</v>
      </c>
      <c r="DM84" s="5">
        <v>2506.8790746295172</v>
      </c>
    </row>
    <row r="85" spans="1:117" x14ac:dyDescent="0.25">
      <c r="A85" t="s">
        <v>106</v>
      </c>
      <c r="B85" t="s">
        <v>124</v>
      </c>
      <c r="C85">
        <v>118.226202</v>
      </c>
      <c r="D85">
        <v>-31.493127999999999</v>
      </c>
      <c r="E85">
        <v>2016</v>
      </c>
      <c r="F85" t="s">
        <v>124</v>
      </c>
      <c r="G85" t="s">
        <v>141</v>
      </c>
      <c r="H85" t="s">
        <v>144</v>
      </c>
      <c r="I85">
        <v>25.4</v>
      </c>
      <c r="J85">
        <v>53.6</v>
      </c>
      <c r="K85">
        <v>826234</v>
      </c>
      <c r="L85">
        <v>14.5</v>
      </c>
      <c r="M85">
        <v>30.7</v>
      </c>
      <c r="N85">
        <v>298.39999999999998</v>
      </c>
      <c r="O85">
        <v>48.2</v>
      </c>
      <c r="P85">
        <v>25.7</v>
      </c>
      <c r="Q85">
        <v>9.1999999999999993</v>
      </c>
      <c r="R85">
        <v>871113.3</v>
      </c>
      <c r="S85">
        <v>14.45</v>
      </c>
      <c r="T85">
        <v>31.8</v>
      </c>
      <c r="U85">
        <v>312.5</v>
      </c>
      <c r="V85">
        <v>36.5</v>
      </c>
      <c r="W85">
        <v>23.4</v>
      </c>
      <c r="X85">
        <v>119.8</v>
      </c>
      <c r="Y85">
        <v>654566.80000000005</v>
      </c>
      <c r="Z85">
        <v>13.32</v>
      </c>
      <c r="AA85">
        <v>28</v>
      </c>
      <c r="AB85">
        <v>228</v>
      </c>
      <c r="AC85">
        <v>54.5</v>
      </c>
      <c r="AD85">
        <v>18.399999999999999</v>
      </c>
      <c r="AE85">
        <v>45</v>
      </c>
      <c r="AF85">
        <v>414291.4</v>
      </c>
      <c r="AG85">
        <v>9.49</v>
      </c>
      <c r="AH85">
        <v>20.7</v>
      </c>
      <c r="AI85">
        <v>122.2</v>
      </c>
      <c r="AJ85">
        <v>67.3</v>
      </c>
      <c r="AK85">
        <v>12.5</v>
      </c>
      <c r="AL85">
        <v>37.799999999999997</v>
      </c>
      <c r="AM85">
        <v>391697.2</v>
      </c>
      <c r="AN85">
        <v>5.93</v>
      </c>
      <c r="AO85">
        <v>14.8</v>
      </c>
      <c r="AP85">
        <v>84.3</v>
      </c>
      <c r="AQ85">
        <v>76.8</v>
      </c>
      <c r="AR85">
        <v>10.8</v>
      </c>
      <c r="AS85">
        <v>55.2</v>
      </c>
      <c r="AT85">
        <v>302111.09999999998</v>
      </c>
      <c r="AU85">
        <v>7.99</v>
      </c>
      <c r="AV85">
        <v>12</v>
      </c>
      <c r="AW85">
        <v>63.5</v>
      </c>
      <c r="AX85">
        <v>78.8</v>
      </c>
      <c r="AY85">
        <v>9.4</v>
      </c>
      <c r="AZ85">
        <v>41</v>
      </c>
      <c r="BA85">
        <v>348706.3</v>
      </c>
      <c r="BB85">
        <v>8.06</v>
      </c>
      <c r="BC85">
        <v>10.7</v>
      </c>
      <c r="BD85">
        <v>67.2</v>
      </c>
      <c r="BE85">
        <v>79.599999999999994</v>
      </c>
      <c r="BF85">
        <v>9.8000000000000007</v>
      </c>
      <c r="BG85">
        <v>40.6</v>
      </c>
      <c r="BH85">
        <v>420434.6</v>
      </c>
      <c r="BI85">
        <v>7.88</v>
      </c>
      <c r="BJ85">
        <v>12.2</v>
      </c>
      <c r="BK85">
        <v>86.5</v>
      </c>
      <c r="BL85">
        <v>77.7</v>
      </c>
      <c r="BM85">
        <v>10.6</v>
      </c>
      <c r="BN85">
        <v>23.6</v>
      </c>
      <c r="BO85">
        <v>593952.69999999995</v>
      </c>
      <c r="BP85">
        <v>7.2</v>
      </c>
      <c r="BQ85">
        <v>15.3</v>
      </c>
      <c r="BR85">
        <v>128.30000000000001</v>
      </c>
      <c r="BS85">
        <v>68.900000000000006</v>
      </c>
      <c r="BT85">
        <v>15.9</v>
      </c>
      <c r="BU85">
        <v>12</v>
      </c>
      <c r="BV85">
        <v>795081.4</v>
      </c>
      <c r="BW85">
        <v>9.5399999999999991</v>
      </c>
      <c r="BX85">
        <v>21.5</v>
      </c>
      <c r="BY85">
        <v>221.1</v>
      </c>
      <c r="BZ85">
        <v>50.9</v>
      </c>
      <c r="CA85">
        <v>22.1</v>
      </c>
      <c r="CB85">
        <v>0.4</v>
      </c>
      <c r="CC85">
        <v>954396.9</v>
      </c>
      <c r="CD85">
        <v>9.82</v>
      </c>
      <c r="CE85">
        <v>29.7</v>
      </c>
      <c r="CF85">
        <v>308.2</v>
      </c>
      <c r="CG85">
        <v>34.4</v>
      </c>
      <c r="CH85">
        <v>23</v>
      </c>
      <c r="CI85">
        <v>23.4</v>
      </c>
      <c r="CJ85">
        <v>993686.8</v>
      </c>
      <c r="CK85">
        <v>13.49</v>
      </c>
      <c r="CL85">
        <v>30.1</v>
      </c>
      <c r="CM85">
        <v>327.5</v>
      </c>
      <c r="CN85">
        <v>40.200000000000003</v>
      </c>
      <c r="CP85" s="3">
        <v>133.12695639999998</v>
      </c>
      <c r="CQ85" s="3">
        <v>265.94031967119787</v>
      </c>
      <c r="CR85" s="3">
        <v>244.36784107392498</v>
      </c>
      <c r="CS85" s="3">
        <v>168.48709864302083</v>
      </c>
      <c r="CT85" s="3">
        <v>219.627445633875</v>
      </c>
      <c r="CU85" s="7">
        <v>0.06</v>
      </c>
      <c r="CV85" s="7">
        <v>0.14000000000000001</v>
      </c>
      <c r="CW85" s="7">
        <v>7.0000000000000007E-2</v>
      </c>
      <c r="CX85" s="7">
        <v>0.04</v>
      </c>
      <c r="CY85" s="3">
        <f t="shared" si="2"/>
        <v>70.747111660987827</v>
      </c>
      <c r="CZ85">
        <v>2387</v>
      </c>
      <c r="DA85">
        <v>1552</v>
      </c>
      <c r="DB85">
        <v>722700</v>
      </c>
      <c r="DC85">
        <v>2010</v>
      </c>
      <c r="DD85" s="2">
        <f t="shared" si="5"/>
        <v>1.5380154639175259</v>
      </c>
      <c r="DE85" t="s">
        <v>147</v>
      </c>
      <c r="DI85" s="2">
        <v>1.640994203244184</v>
      </c>
      <c r="DK85" s="5">
        <v>3096.3032464094254</v>
      </c>
      <c r="DM85" s="5">
        <v>1886.8459378394812</v>
      </c>
    </row>
    <row r="86" spans="1:117" x14ac:dyDescent="0.25">
      <c r="A86" t="s">
        <v>106</v>
      </c>
      <c r="B86" t="s">
        <v>124</v>
      </c>
      <c r="C86">
        <v>118.226202</v>
      </c>
      <c r="D86">
        <v>-31.493127999999999</v>
      </c>
      <c r="E86">
        <v>2017</v>
      </c>
      <c r="F86" t="s">
        <v>124</v>
      </c>
      <c r="G86" t="s">
        <v>141</v>
      </c>
      <c r="H86" t="s">
        <v>144</v>
      </c>
      <c r="I86">
        <v>25.7</v>
      </c>
      <c r="J86">
        <v>33.4</v>
      </c>
      <c r="K86">
        <v>958427.6</v>
      </c>
      <c r="L86">
        <v>12.93</v>
      </c>
      <c r="M86">
        <v>32.700000000000003</v>
      </c>
      <c r="N86">
        <v>344.3</v>
      </c>
      <c r="O86">
        <v>37.200000000000003</v>
      </c>
      <c r="P86">
        <v>24.1</v>
      </c>
      <c r="Q86">
        <v>55.6</v>
      </c>
      <c r="R86">
        <v>704960.8</v>
      </c>
      <c r="S86">
        <v>14.15</v>
      </c>
      <c r="T86">
        <v>29.1</v>
      </c>
      <c r="U86">
        <v>225.4</v>
      </c>
      <c r="V86">
        <v>53.6</v>
      </c>
      <c r="W86">
        <v>22.6</v>
      </c>
      <c r="X86">
        <v>18.600000000000001</v>
      </c>
      <c r="Y86">
        <v>678543.7</v>
      </c>
      <c r="Z86">
        <v>11.77</v>
      </c>
      <c r="AA86">
        <v>27.3</v>
      </c>
      <c r="AB86">
        <v>233</v>
      </c>
      <c r="AC86">
        <v>48.3</v>
      </c>
      <c r="AD86">
        <v>19.399999999999999</v>
      </c>
      <c r="AE86">
        <v>5.6</v>
      </c>
      <c r="AF86">
        <v>555806.30000000005</v>
      </c>
      <c r="AG86">
        <v>9.1300000000000008</v>
      </c>
      <c r="AH86">
        <v>23.4</v>
      </c>
      <c r="AI86">
        <v>179.8</v>
      </c>
      <c r="AJ86">
        <v>49.3</v>
      </c>
      <c r="AK86">
        <v>14.8</v>
      </c>
      <c r="AL86">
        <v>14.4</v>
      </c>
      <c r="AM86">
        <v>381880.2</v>
      </c>
      <c r="AN86">
        <v>7.86</v>
      </c>
      <c r="AO86">
        <v>17.100000000000001</v>
      </c>
      <c r="AP86">
        <v>107.6</v>
      </c>
      <c r="AQ86">
        <v>63.3</v>
      </c>
      <c r="AR86">
        <v>12.8</v>
      </c>
      <c r="AS86">
        <v>4</v>
      </c>
      <c r="AT86">
        <v>339817.7</v>
      </c>
      <c r="AU86">
        <v>7.28</v>
      </c>
      <c r="AV86">
        <v>14.2</v>
      </c>
      <c r="AW86">
        <v>96.8</v>
      </c>
      <c r="AX86">
        <v>58.4</v>
      </c>
      <c r="AY86">
        <v>11</v>
      </c>
      <c r="AZ86">
        <v>37.6</v>
      </c>
      <c r="BA86">
        <v>334337.7</v>
      </c>
      <c r="BB86">
        <v>9.1999999999999993</v>
      </c>
      <c r="BC86">
        <v>12.1</v>
      </c>
      <c r="BD86">
        <v>77.2</v>
      </c>
      <c r="BE86">
        <v>76.2</v>
      </c>
      <c r="BF86">
        <v>11.2</v>
      </c>
      <c r="BG86">
        <v>51.4</v>
      </c>
      <c r="BH86">
        <v>429104.6</v>
      </c>
      <c r="BI86">
        <v>8.77</v>
      </c>
      <c r="BJ86">
        <v>12.9</v>
      </c>
      <c r="BK86">
        <v>93.9</v>
      </c>
      <c r="BL86">
        <v>75.599999999999994</v>
      </c>
      <c r="BM86">
        <v>13.9</v>
      </c>
      <c r="BN86">
        <v>43.6</v>
      </c>
      <c r="BO86">
        <v>545439.6</v>
      </c>
      <c r="BP86">
        <v>5.64</v>
      </c>
      <c r="BQ86">
        <v>16.7</v>
      </c>
      <c r="BR86">
        <v>130.9</v>
      </c>
      <c r="BS86">
        <v>63.5</v>
      </c>
      <c r="BT86">
        <v>17</v>
      </c>
      <c r="BU86">
        <v>37</v>
      </c>
      <c r="BV86">
        <v>782264.9</v>
      </c>
      <c r="BW86">
        <v>4.87</v>
      </c>
      <c r="BX86">
        <v>21.6</v>
      </c>
      <c r="BY86">
        <v>194.6</v>
      </c>
      <c r="BZ86">
        <v>53.4</v>
      </c>
      <c r="CA86">
        <v>22.5</v>
      </c>
      <c r="CB86">
        <v>12.2</v>
      </c>
      <c r="CC86">
        <v>866598.8</v>
      </c>
      <c r="CD86">
        <v>11.59</v>
      </c>
      <c r="CE86">
        <v>29.6</v>
      </c>
      <c r="CF86">
        <v>283.7</v>
      </c>
      <c r="CG86">
        <v>42.4</v>
      </c>
      <c r="CH86">
        <v>24.2</v>
      </c>
      <c r="CI86">
        <v>9</v>
      </c>
      <c r="CJ86">
        <v>953835.3</v>
      </c>
      <c r="CK86">
        <v>12.99</v>
      </c>
      <c r="CL86">
        <v>31.4</v>
      </c>
      <c r="CM86">
        <v>325.89999999999998</v>
      </c>
      <c r="CN86">
        <v>36.6</v>
      </c>
      <c r="CP86" s="3">
        <v>119.07146077499999</v>
      </c>
      <c r="CQ86" s="3">
        <v>235.14453102913441</v>
      </c>
      <c r="CR86" s="3">
        <v>211.74875985799997</v>
      </c>
      <c r="CS86" s="3">
        <v>150.26687985202918</v>
      </c>
      <c r="CT86" s="3">
        <v>166.58352970400003</v>
      </c>
      <c r="CU86" s="7">
        <v>0.06</v>
      </c>
      <c r="CV86" s="7">
        <v>0.14000000000000001</v>
      </c>
      <c r="CW86" s="7">
        <v>7.0000000000000007E-2</v>
      </c>
      <c r="CX86" s="7">
        <v>0.04</v>
      </c>
      <c r="CY86" s="3">
        <f t="shared" si="2"/>
        <v>60.935521019670105</v>
      </c>
      <c r="CZ86">
        <v>2361</v>
      </c>
      <c r="DA86">
        <v>1647</v>
      </c>
      <c r="DB86">
        <v>796380</v>
      </c>
      <c r="DC86">
        <v>2368</v>
      </c>
      <c r="DD86" s="2">
        <f t="shared" si="5"/>
        <v>1.4335154826958105</v>
      </c>
      <c r="DE86" t="s">
        <v>147</v>
      </c>
      <c r="DI86" s="2">
        <v>1.5294973636823963</v>
      </c>
      <c r="DK86" s="5">
        <v>3062.5772789160674</v>
      </c>
      <c r="DM86" s="5">
        <v>2002.342306457233</v>
      </c>
    </row>
    <row r="87" spans="1:117" x14ac:dyDescent="0.25">
      <c r="A87" t="s">
        <v>106</v>
      </c>
      <c r="B87" t="s">
        <v>124</v>
      </c>
      <c r="C87">
        <v>118.226202</v>
      </c>
      <c r="D87">
        <v>-31.493127999999999</v>
      </c>
      <c r="E87">
        <v>2018</v>
      </c>
      <c r="F87" t="s">
        <v>124</v>
      </c>
      <c r="G87" t="s">
        <v>141</v>
      </c>
      <c r="H87" t="s">
        <v>144</v>
      </c>
      <c r="I87">
        <v>25.3</v>
      </c>
      <c r="J87">
        <v>22.8</v>
      </c>
      <c r="K87">
        <v>932396.7</v>
      </c>
      <c r="L87">
        <v>16.079999999999998</v>
      </c>
      <c r="M87">
        <v>32.799999999999997</v>
      </c>
      <c r="N87">
        <v>331.7</v>
      </c>
      <c r="O87">
        <v>44.2</v>
      </c>
      <c r="P87">
        <v>24.9</v>
      </c>
      <c r="Q87">
        <v>14.4</v>
      </c>
      <c r="R87">
        <v>724156.3</v>
      </c>
      <c r="S87">
        <v>14.13</v>
      </c>
      <c r="T87">
        <v>32.4</v>
      </c>
      <c r="U87">
        <v>252.2</v>
      </c>
      <c r="V87">
        <v>49.4</v>
      </c>
      <c r="W87">
        <v>23.9</v>
      </c>
      <c r="X87">
        <v>20.8</v>
      </c>
      <c r="Y87">
        <v>716780.8</v>
      </c>
      <c r="Z87">
        <v>14.46</v>
      </c>
      <c r="AA87">
        <v>29.8</v>
      </c>
      <c r="AB87">
        <v>268.60000000000002</v>
      </c>
      <c r="AC87">
        <v>44.3</v>
      </c>
      <c r="AD87">
        <v>19.2</v>
      </c>
      <c r="AE87">
        <v>0.8</v>
      </c>
      <c r="AF87">
        <v>533151.6</v>
      </c>
      <c r="AG87">
        <v>9.06</v>
      </c>
      <c r="AH87">
        <v>23.3</v>
      </c>
      <c r="AI87">
        <v>163.6</v>
      </c>
      <c r="AJ87">
        <v>54.1</v>
      </c>
      <c r="AK87">
        <v>15.4</v>
      </c>
      <c r="AL87">
        <v>11.6</v>
      </c>
      <c r="AM87">
        <v>431575.3</v>
      </c>
      <c r="AN87">
        <v>11.38</v>
      </c>
      <c r="AO87">
        <v>17.7</v>
      </c>
      <c r="AP87">
        <v>147</v>
      </c>
      <c r="AQ87">
        <v>51.8</v>
      </c>
      <c r="AR87">
        <v>12</v>
      </c>
      <c r="AS87">
        <v>41.4</v>
      </c>
      <c r="AT87">
        <v>296620.40000000002</v>
      </c>
      <c r="AU87">
        <v>7.71</v>
      </c>
      <c r="AV87">
        <v>12.9</v>
      </c>
      <c r="AW87">
        <v>72.2</v>
      </c>
      <c r="AX87">
        <v>73.7</v>
      </c>
      <c r="AY87">
        <v>11.6</v>
      </c>
      <c r="AZ87">
        <v>58.6</v>
      </c>
      <c r="BA87">
        <v>355177.1</v>
      </c>
      <c r="BB87">
        <v>10.18</v>
      </c>
      <c r="BC87">
        <v>11.9</v>
      </c>
      <c r="BD87">
        <v>80</v>
      </c>
      <c r="BE87">
        <v>75.599999999999994</v>
      </c>
      <c r="BF87">
        <v>10.199999999999999</v>
      </c>
      <c r="BG87">
        <v>69</v>
      </c>
      <c r="BH87">
        <v>415052</v>
      </c>
      <c r="BI87">
        <v>8.89</v>
      </c>
      <c r="BJ87">
        <v>11.1</v>
      </c>
      <c r="BK87">
        <v>89.2</v>
      </c>
      <c r="BL87">
        <v>76.099999999999994</v>
      </c>
      <c r="BM87">
        <v>13.1</v>
      </c>
      <c r="BN87">
        <v>4.4000000000000004</v>
      </c>
      <c r="BO87">
        <v>626714.4</v>
      </c>
      <c r="BP87">
        <v>7.42</v>
      </c>
      <c r="BQ87">
        <v>17.399999999999999</v>
      </c>
      <c r="BR87">
        <v>161</v>
      </c>
      <c r="BS87">
        <v>57.9</v>
      </c>
      <c r="BT87">
        <v>17.600000000000001</v>
      </c>
      <c r="BU87">
        <v>44.4</v>
      </c>
      <c r="BV87">
        <v>683099.1</v>
      </c>
      <c r="BW87">
        <v>10.42</v>
      </c>
      <c r="BX87">
        <v>21.8</v>
      </c>
      <c r="BY87">
        <v>188.9</v>
      </c>
      <c r="BZ87">
        <v>61.4</v>
      </c>
      <c r="CA87">
        <v>20.2</v>
      </c>
      <c r="CB87">
        <v>13.4</v>
      </c>
      <c r="CC87">
        <v>877411.3</v>
      </c>
      <c r="CD87">
        <v>10.42</v>
      </c>
      <c r="CE87">
        <v>27.3</v>
      </c>
      <c r="CF87">
        <v>262.7</v>
      </c>
      <c r="CG87">
        <v>44</v>
      </c>
      <c r="CH87">
        <v>24.6</v>
      </c>
      <c r="CI87">
        <v>17.2</v>
      </c>
      <c r="CJ87">
        <v>968527.7</v>
      </c>
      <c r="CK87">
        <v>12.85</v>
      </c>
      <c r="CL87">
        <v>31.5</v>
      </c>
      <c r="CM87">
        <v>332.1</v>
      </c>
      <c r="CN87">
        <v>37.4</v>
      </c>
      <c r="CP87" s="3">
        <v>149.45420497500001</v>
      </c>
      <c r="CQ87" s="3">
        <v>274.57347051901041</v>
      </c>
      <c r="CR87" s="3">
        <v>237.4236465424917</v>
      </c>
      <c r="CS87" s="3">
        <v>174.41377918435418</v>
      </c>
      <c r="CT87" s="3">
        <v>166.56083829114584</v>
      </c>
      <c r="CU87" s="7">
        <v>0.06</v>
      </c>
      <c r="CV87" s="7">
        <v>0.14000000000000001</v>
      </c>
      <c r="CW87" s="7">
        <v>7.0000000000000007E-2</v>
      </c>
      <c r="CX87" s="7">
        <v>0.04</v>
      </c>
      <c r="CY87" s="3">
        <f t="shared" si="2"/>
        <v>68.585116821640085</v>
      </c>
      <c r="CZ87">
        <v>1848</v>
      </c>
      <c r="DA87">
        <v>1507</v>
      </c>
      <c r="DB87">
        <v>721140</v>
      </c>
      <c r="DC87">
        <v>1837</v>
      </c>
      <c r="DD87" s="2">
        <f t="shared" si="5"/>
        <v>1.2262773722627738</v>
      </c>
      <c r="DE87" t="s">
        <v>147</v>
      </c>
      <c r="DI87" s="2">
        <v>1.3083835024175219</v>
      </c>
      <c r="DK87" s="5">
        <v>2397.1379972202003</v>
      </c>
      <c r="DM87" s="5">
        <v>1832.1371316521252</v>
      </c>
    </row>
    <row r="88" spans="1:117" x14ac:dyDescent="0.25">
      <c r="A88" t="s">
        <v>106</v>
      </c>
      <c r="B88" t="s">
        <v>124</v>
      </c>
      <c r="C88">
        <v>118.226202</v>
      </c>
      <c r="D88">
        <v>-31.493127999999999</v>
      </c>
      <c r="E88">
        <v>2019</v>
      </c>
      <c r="F88" t="s">
        <v>124</v>
      </c>
      <c r="G88" t="s">
        <v>141</v>
      </c>
      <c r="H88" t="s">
        <v>144</v>
      </c>
      <c r="I88">
        <v>26.1</v>
      </c>
      <c r="J88">
        <v>0.2</v>
      </c>
      <c r="K88">
        <v>1009362.2</v>
      </c>
      <c r="L88">
        <v>13.91</v>
      </c>
      <c r="M88">
        <v>34.6</v>
      </c>
      <c r="N88">
        <v>364.4</v>
      </c>
      <c r="O88">
        <v>34.299999999999997</v>
      </c>
      <c r="P88">
        <v>26.1</v>
      </c>
      <c r="Q88">
        <v>1</v>
      </c>
      <c r="R88">
        <v>825682.5</v>
      </c>
      <c r="S88">
        <v>12.97</v>
      </c>
      <c r="T88">
        <v>34.1</v>
      </c>
      <c r="U88">
        <v>298.5</v>
      </c>
      <c r="V88">
        <v>36.6</v>
      </c>
      <c r="W88">
        <v>24.4</v>
      </c>
      <c r="X88">
        <v>12.8</v>
      </c>
      <c r="Y88">
        <v>668172.5</v>
      </c>
      <c r="Z88">
        <v>12.43</v>
      </c>
      <c r="AA88">
        <v>29.8</v>
      </c>
      <c r="AB88">
        <v>250.2</v>
      </c>
      <c r="AC88">
        <v>43.6</v>
      </c>
      <c r="AD88">
        <v>18.7</v>
      </c>
      <c r="AE88">
        <v>12.4</v>
      </c>
      <c r="AF88">
        <v>537642.4</v>
      </c>
      <c r="AG88">
        <v>11.27</v>
      </c>
      <c r="AH88">
        <v>22.7</v>
      </c>
      <c r="AI88">
        <v>176.8</v>
      </c>
      <c r="AJ88">
        <v>51.8</v>
      </c>
      <c r="AK88">
        <v>13</v>
      </c>
      <c r="AL88">
        <v>5.8</v>
      </c>
      <c r="AM88">
        <v>440112.3</v>
      </c>
      <c r="AN88">
        <v>7.96</v>
      </c>
      <c r="AO88">
        <v>15.8</v>
      </c>
      <c r="AP88">
        <v>126.5</v>
      </c>
      <c r="AQ88">
        <v>55.1</v>
      </c>
      <c r="AR88">
        <v>11.9</v>
      </c>
      <c r="AS88">
        <v>76</v>
      </c>
      <c r="AT88">
        <v>299903.59999999998</v>
      </c>
      <c r="AU88">
        <v>11.08</v>
      </c>
      <c r="AV88">
        <v>12.5</v>
      </c>
      <c r="AW88">
        <v>85</v>
      </c>
      <c r="AX88">
        <v>68.400000000000006</v>
      </c>
      <c r="AY88">
        <v>10.7</v>
      </c>
      <c r="AZ88">
        <v>37.799999999999997</v>
      </c>
      <c r="BA88">
        <v>375466.6</v>
      </c>
      <c r="BB88">
        <v>7.4</v>
      </c>
      <c r="BC88">
        <v>11.6</v>
      </c>
      <c r="BD88">
        <v>77.2</v>
      </c>
      <c r="BE88">
        <v>76.2</v>
      </c>
      <c r="BF88">
        <v>11.6</v>
      </c>
      <c r="BG88">
        <v>51</v>
      </c>
      <c r="BH88">
        <v>481340</v>
      </c>
      <c r="BI88">
        <v>8.84</v>
      </c>
      <c r="BJ88">
        <v>11.9</v>
      </c>
      <c r="BK88">
        <v>118.9</v>
      </c>
      <c r="BL88">
        <v>67.599999999999994</v>
      </c>
      <c r="BM88">
        <v>15.5</v>
      </c>
      <c r="BN88">
        <v>3</v>
      </c>
      <c r="BO88">
        <v>661457.69999999995</v>
      </c>
      <c r="BP88">
        <v>8</v>
      </c>
      <c r="BQ88">
        <v>18.3</v>
      </c>
      <c r="BR88">
        <v>211.2</v>
      </c>
      <c r="BS88">
        <v>21.6</v>
      </c>
      <c r="BT88">
        <v>19</v>
      </c>
      <c r="BU88">
        <v>22</v>
      </c>
      <c r="BV88">
        <v>813436.8</v>
      </c>
      <c r="BW88">
        <v>9.42</v>
      </c>
      <c r="BX88">
        <v>24.6</v>
      </c>
      <c r="BY88">
        <v>244.3</v>
      </c>
      <c r="BZ88">
        <v>48.4</v>
      </c>
      <c r="CA88">
        <v>22.6</v>
      </c>
      <c r="CB88">
        <v>0.6</v>
      </c>
      <c r="CC88">
        <v>949450.3</v>
      </c>
      <c r="CD88">
        <v>11.67</v>
      </c>
      <c r="CE88">
        <v>29.7</v>
      </c>
      <c r="CF88">
        <v>309.7</v>
      </c>
      <c r="CG88">
        <v>36.4</v>
      </c>
      <c r="CH88">
        <v>28</v>
      </c>
      <c r="CI88">
        <v>0.6</v>
      </c>
      <c r="CJ88">
        <v>782823.3</v>
      </c>
      <c r="CK88">
        <v>12.77</v>
      </c>
      <c r="CL88">
        <v>34.6</v>
      </c>
      <c r="CM88">
        <v>301.89999999999998</v>
      </c>
      <c r="CN88">
        <v>30.9</v>
      </c>
      <c r="CP88" s="3">
        <v>151.20769046666666</v>
      </c>
      <c r="CQ88" s="3">
        <v>267.33967790703502</v>
      </c>
      <c r="CR88" s="3">
        <v>246.94953969827165</v>
      </c>
      <c r="CS88" s="3">
        <v>186.82042264949916</v>
      </c>
      <c r="CT88" s="3">
        <v>164.67061180174997</v>
      </c>
      <c r="CU88" s="7">
        <v>0.06</v>
      </c>
      <c r="CV88" s="7">
        <v>0.14000000000000001</v>
      </c>
      <c r="CW88" s="7">
        <v>7.0000000000000007E-2</v>
      </c>
      <c r="CX88" s="7">
        <v>0.04</v>
      </c>
      <c r="CY88" s="3">
        <f t="shared" si="2"/>
        <v>70.277570289715072</v>
      </c>
      <c r="CZ88">
        <v>3132</v>
      </c>
      <c r="DA88">
        <v>1716</v>
      </c>
      <c r="DB88">
        <v>1037670</v>
      </c>
      <c r="DC88">
        <v>2915</v>
      </c>
      <c r="DD88" s="2">
        <f t="shared" si="5"/>
        <v>1.8251748251748252</v>
      </c>
      <c r="DE88" t="s">
        <v>147</v>
      </c>
      <c r="DI88" s="2">
        <v>1.9473804901741312</v>
      </c>
      <c r="DK88" s="5">
        <v>4062.6819303537159</v>
      </c>
      <c r="DM88" s="5">
        <v>2086.2291426111792</v>
      </c>
    </row>
    <row r="89" spans="1:117" x14ac:dyDescent="0.25">
      <c r="A89" t="s">
        <v>106</v>
      </c>
      <c r="B89" t="s">
        <v>124</v>
      </c>
      <c r="C89">
        <v>118.226202</v>
      </c>
      <c r="D89">
        <v>-31.493127999999999</v>
      </c>
      <c r="E89">
        <v>2020</v>
      </c>
      <c r="F89" t="s">
        <v>124</v>
      </c>
      <c r="G89" t="s">
        <v>141</v>
      </c>
      <c r="H89" t="s">
        <v>144</v>
      </c>
      <c r="I89">
        <v>26.3</v>
      </c>
      <c r="J89">
        <v>0</v>
      </c>
      <c r="K89">
        <v>764879.8</v>
      </c>
      <c r="L89">
        <v>13.79</v>
      </c>
      <c r="M89">
        <v>34.4</v>
      </c>
      <c r="N89">
        <v>258.89999999999998</v>
      </c>
      <c r="O89">
        <v>40.4</v>
      </c>
      <c r="P89">
        <v>25.9</v>
      </c>
      <c r="Q89">
        <v>46.4</v>
      </c>
      <c r="R89">
        <v>706552.8</v>
      </c>
      <c r="S89">
        <v>16.02</v>
      </c>
      <c r="T89">
        <v>30.8</v>
      </c>
      <c r="U89">
        <v>270.10000000000002</v>
      </c>
      <c r="V89">
        <v>48.7</v>
      </c>
      <c r="W89">
        <v>22.9</v>
      </c>
      <c r="X89">
        <v>21</v>
      </c>
      <c r="Y89">
        <v>684846.5</v>
      </c>
      <c r="Z89">
        <v>12.16</v>
      </c>
      <c r="AA89">
        <v>27.5</v>
      </c>
      <c r="AB89">
        <v>230.2</v>
      </c>
      <c r="AC89">
        <v>50.1</v>
      </c>
      <c r="AD89">
        <v>20</v>
      </c>
      <c r="AE89">
        <v>3.4</v>
      </c>
      <c r="AF89">
        <v>498133</v>
      </c>
      <c r="AG89">
        <v>9.16</v>
      </c>
      <c r="AH89">
        <v>24</v>
      </c>
      <c r="AI89">
        <v>168.1</v>
      </c>
      <c r="AJ89">
        <v>50.7</v>
      </c>
      <c r="AK89">
        <v>14.3</v>
      </c>
      <c r="AL89">
        <v>50.4</v>
      </c>
      <c r="AM89">
        <v>402353.4</v>
      </c>
      <c r="AN89">
        <v>10.59</v>
      </c>
      <c r="AO89">
        <v>15.9</v>
      </c>
      <c r="AP89">
        <v>122.7</v>
      </c>
      <c r="AQ89">
        <v>62.6</v>
      </c>
      <c r="AR89">
        <v>13.6</v>
      </c>
      <c r="AS89">
        <v>49.4</v>
      </c>
      <c r="AT89">
        <v>336114.9</v>
      </c>
      <c r="AU89">
        <v>9.2799999999999994</v>
      </c>
      <c r="AV89">
        <v>13.6</v>
      </c>
      <c r="AW89">
        <v>89.3</v>
      </c>
      <c r="AX89">
        <v>69.400000000000006</v>
      </c>
      <c r="AY89">
        <v>11.4</v>
      </c>
      <c r="AZ89">
        <v>34</v>
      </c>
      <c r="BA89">
        <v>407640.9</v>
      </c>
      <c r="BB89">
        <v>7.96</v>
      </c>
      <c r="BC89">
        <v>11.6</v>
      </c>
      <c r="BD89">
        <v>92.5</v>
      </c>
      <c r="BE89">
        <v>74.5</v>
      </c>
      <c r="BF89">
        <v>11.5</v>
      </c>
      <c r="BG89">
        <v>54</v>
      </c>
      <c r="BH89">
        <v>443363.3</v>
      </c>
      <c r="BI89">
        <v>8.39</v>
      </c>
      <c r="BJ89">
        <v>12.8</v>
      </c>
      <c r="BK89">
        <v>93.3</v>
      </c>
      <c r="BL89">
        <v>76.599999999999994</v>
      </c>
      <c r="BM89">
        <v>14.7</v>
      </c>
      <c r="BN89">
        <v>20.399999999999999</v>
      </c>
      <c r="BO89">
        <v>616763.6</v>
      </c>
      <c r="BP89">
        <v>9.0299999999999994</v>
      </c>
      <c r="BQ89">
        <v>18.100000000000001</v>
      </c>
      <c r="BR89">
        <v>163.69999999999999</v>
      </c>
      <c r="BS89">
        <v>63.5</v>
      </c>
      <c r="BT89">
        <v>19</v>
      </c>
      <c r="BU89">
        <v>0.6</v>
      </c>
      <c r="BV89">
        <v>806073.9</v>
      </c>
      <c r="BW89">
        <v>10.11</v>
      </c>
      <c r="BX89">
        <v>24.8</v>
      </c>
      <c r="BY89">
        <v>243.7</v>
      </c>
      <c r="BZ89">
        <v>47</v>
      </c>
      <c r="CA89">
        <v>20</v>
      </c>
      <c r="CB89">
        <v>41.6</v>
      </c>
      <c r="CC89">
        <v>841387.5</v>
      </c>
      <c r="CD89">
        <v>11.2</v>
      </c>
      <c r="CE89">
        <v>26</v>
      </c>
      <c r="CF89">
        <v>251.9</v>
      </c>
      <c r="CG89">
        <v>52.6</v>
      </c>
      <c r="CH89">
        <v>24.6</v>
      </c>
      <c r="CI89">
        <v>16.399999999999999</v>
      </c>
      <c r="CJ89">
        <v>1009919.2</v>
      </c>
      <c r="CK89">
        <v>14.21</v>
      </c>
      <c r="CL89">
        <v>31.1</v>
      </c>
      <c r="CM89">
        <v>349</v>
      </c>
      <c r="CN89">
        <v>36.1</v>
      </c>
      <c r="CP89" s="3">
        <v>137.12151142499999</v>
      </c>
      <c r="CQ89" s="3">
        <v>183.94377395835087</v>
      </c>
      <c r="CR89" s="3">
        <v>171.50265380089249</v>
      </c>
      <c r="CS89" s="3">
        <v>153.47587761539251</v>
      </c>
      <c r="CT89" s="3">
        <v>168.62831412656331</v>
      </c>
      <c r="CU89" s="7">
        <v>0.06</v>
      </c>
      <c r="CV89" s="7">
        <v>0.14000000000000001</v>
      </c>
      <c r="CW89" s="7">
        <v>7.0000000000000007E-2</v>
      </c>
      <c r="CX89" s="7">
        <v>0.04</v>
      </c>
      <c r="CY89" s="3">
        <f t="shared" si="2"/>
        <v>52.535441967766019</v>
      </c>
      <c r="CZ89">
        <v>1591</v>
      </c>
      <c r="DA89">
        <v>1677</v>
      </c>
      <c r="DB89">
        <v>864980</v>
      </c>
      <c r="DC89">
        <v>1861</v>
      </c>
      <c r="DD89" s="2">
        <f t="shared" si="5"/>
        <v>0.94871794871794868</v>
      </c>
      <c r="DE89" t="s">
        <v>147</v>
      </c>
      <c r="DI89" s="2">
        <v>1.0122399227341907</v>
      </c>
      <c r="DK89" s="5">
        <v>2063.7697800743172</v>
      </c>
      <c r="DM89" s="5">
        <v>2038.8148439154704</v>
      </c>
    </row>
    <row r="90" spans="1:117" x14ac:dyDescent="0.25">
      <c r="A90" t="s">
        <v>107</v>
      </c>
      <c r="B90" t="s">
        <v>125</v>
      </c>
      <c r="C90">
        <v>116.00015</v>
      </c>
      <c r="D90">
        <v>-30.659594999999999</v>
      </c>
      <c r="E90">
        <v>2013</v>
      </c>
      <c r="F90" t="s">
        <v>125</v>
      </c>
      <c r="G90" t="s">
        <v>139</v>
      </c>
      <c r="H90" t="s">
        <v>142</v>
      </c>
      <c r="I90">
        <v>25.9</v>
      </c>
      <c r="J90">
        <v>19.399999999999999</v>
      </c>
      <c r="K90">
        <v>1067431.2</v>
      </c>
      <c r="L90">
        <v>14.4</v>
      </c>
      <c r="M90">
        <v>34.299999999999997</v>
      </c>
      <c r="N90">
        <v>355.3</v>
      </c>
      <c r="O90">
        <v>47</v>
      </c>
      <c r="P90">
        <v>27.8</v>
      </c>
      <c r="Q90">
        <v>0.8</v>
      </c>
      <c r="R90">
        <v>876486.4</v>
      </c>
      <c r="S90">
        <v>13.46</v>
      </c>
      <c r="T90">
        <v>34.799999999999997</v>
      </c>
      <c r="U90">
        <v>319.3</v>
      </c>
      <c r="V90">
        <v>36.200000000000003</v>
      </c>
      <c r="W90">
        <v>21.9</v>
      </c>
      <c r="X90">
        <v>28.8</v>
      </c>
      <c r="Y90">
        <v>751027.3</v>
      </c>
      <c r="Z90">
        <v>11.54</v>
      </c>
      <c r="AA90">
        <v>27.9</v>
      </c>
      <c r="AB90">
        <v>239</v>
      </c>
      <c r="AC90">
        <v>55.8</v>
      </c>
      <c r="AD90">
        <v>21.6</v>
      </c>
      <c r="AE90">
        <v>8.6</v>
      </c>
      <c r="AF90">
        <v>522862.7</v>
      </c>
      <c r="AG90">
        <v>8.02</v>
      </c>
      <c r="AH90">
        <v>25.3</v>
      </c>
      <c r="AI90">
        <v>168.4</v>
      </c>
      <c r="AJ90">
        <v>57.2</v>
      </c>
      <c r="AK90">
        <v>14.6</v>
      </c>
      <c r="AL90">
        <v>58.2</v>
      </c>
      <c r="AM90">
        <v>398143.7</v>
      </c>
      <c r="AN90">
        <v>8.5500000000000007</v>
      </c>
      <c r="AO90">
        <v>16.8</v>
      </c>
      <c r="AP90">
        <v>99.3</v>
      </c>
      <c r="AQ90">
        <v>71.2</v>
      </c>
      <c r="AR90">
        <v>11.6</v>
      </c>
      <c r="AS90">
        <v>32.4</v>
      </c>
      <c r="AT90">
        <v>384221.5</v>
      </c>
      <c r="AU90">
        <v>6.89</v>
      </c>
      <c r="AV90">
        <v>13.2</v>
      </c>
      <c r="AW90">
        <v>87.7</v>
      </c>
      <c r="AX90">
        <v>71.5</v>
      </c>
      <c r="AY90">
        <v>10.4</v>
      </c>
      <c r="AZ90">
        <v>64.599999999999994</v>
      </c>
      <c r="BA90">
        <v>415716.8</v>
      </c>
      <c r="BB90">
        <v>7.81</v>
      </c>
      <c r="BC90">
        <v>11.8</v>
      </c>
      <c r="BD90">
        <v>92.9</v>
      </c>
      <c r="BE90">
        <v>73.599999999999994</v>
      </c>
      <c r="BF90">
        <v>12.5</v>
      </c>
      <c r="BG90">
        <v>73</v>
      </c>
      <c r="BH90">
        <v>420133.6</v>
      </c>
      <c r="BI90">
        <v>8.26</v>
      </c>
      <c r="BJ90">
        <v>14.4</v>
      </c>
      <c r="BK90">
        <v>84.2</v>
      </c>
      <c r="BL90">
        <v>80.5</v>
      </c>
      <c r="BM90">
        <v>13.2</v>
      </c>
      <c r="BN90">
        <v>65</v>
      </c>
      <c r="BO90">
        <v>562603.9</v>
      </c>
      <c r="BP90">
        <v>10.34</v>
      </c>
      <c r="BQ90">
        <v>16.7</v>
      </c>
      <c r="BR90">
        <v>121.5</v>
      </c>
      <c r="BS90">
        <v>78.3</v>
      </c>
      <c r="BT90">
        <v>17.3</v>
      </c>
      <c r="BU90">
        <v>17</v>
      </c>
      <c r="BV90">
        <v>845407.4</v>
      </c>
      <c r="BW90">
        <v>9.27</v>
      </c>
      <c r="BX90">
        <v>24.9</v>
      </c>
      <c r="BY90">
        <v>229.4</v>
      </c>
      <c r="BZ90">
        <v>61.4</v>
      </c>
      <c r="CA90">
        <v>22.4</v>
      </c>
      <c r="CB90">
        <v>0.2</v>
      </c>
      <c r="CC90">
        <v>998235.9</v>
      </c>
      <c r="CD90">
        <v>12.99</v>
      </c>
      <c r="CE90">
        <v>31.9</v>
      </c>
      <c r="CF90">
        <v>316.2</v>
      </c>
      <c r="CG90">
        <v>48.3</v>
      </c>
      <c r="CH90">
        <v>24.1</v>
      </c>
      <c r="CI90">
        <v>0.4</v>
      </c>
      <c r="CJ90">
        <v>1006943.5</v>
      </c>
      <c r="CK90">
        <v>11.91</v>
      </c>
      <c r="CL90">
        <v>34</v>
      </c>
      <c r="CM90">
        <v>328.3</v>
      </c>
      <c r="CN90">
        <v>44.1</v>
      </c>
      <c r="CP90" s="3">
        <v>344.25478384166667</v>
      </c>
      <c r="CQ90" s="3">
        <v>485.1324771412531</v>
      </c>
      <c r="CR90" s="3">
        <v>453.99912920229173</v>
      </c>
      <c r="CS90" s="3">
        <v>379.15555696741984</v>
      </c>
      <c r="CT90" s="3">
        <v>431.36433691804177</v>
      </c>
      <c r="CU90" s="7">
        <v>0.06</v>
      </c>
      <c r="CV90" s="7">
        <v>0.14000000000000001</v>
      </c>
      <c r="CW90" s="7">
        <v>7.0000000000000007E-2</v>
      </c>
      <c r="CX90" s="7">
        <v>0.04</v>
      </c>
      <c r="CY90" s="3">
        <f t="shared" si="2"/>
        <v>136.46328918123712</v>
      </c>
      <c r="CZ90">
        <v>1016</v>
      </c>
      <c r="DA90">
        <v>696</v>
      </c>
      <c r="DB90">
        <v>453990</v>
      </c>
      <c r="DC90">
        <v>1009</v>
      </c>
      <c r="DE90" t="s">
        <v>147</v>
      </c>
      <c r="DK90" s="5">
        <v>1757.9899119626295</v>
      </c>
      <c r="DM90" s="5">
        <v>1409.1631237522513</v>
      </c>
    </row>
    <row r="91" spans="1:117" x14ac:dyDescent="0.25">
      <c r="A91" t="s">
        <v>107</v>
      </c>
      <c r="B91" t="s">
        <v>125</v>
      </c>
      <c r="C91">
        <v>116.00015</v>
      </c>
      <c r="D91">
        <v>-30.659594999999999</v>
      </c>
      <c r="E91">
        <v>2014</v>
      </c>
      <c r="F91" t="s">
        <v>125</v>
      </c>
      <c r="G91" t="s">
        <v>139</v>
      </c>
      <c r="H91" t="s">
        <v>142</v>
      </c>
      <c r="I91">
        <v>25.9</v>
      </c>
      <c r="J91">
        <v>2</v>
      </c>
      <c r="K91">
        <v>977803.8</v>
      </c>
      <c r="L91">
        <v>13.05</v>
      </c>
      <c r="M91">
        <v>35.299999999999997</v>
      </c>
      <c r="N91">
        <v>335.5</v>
      </c>
      <c r="O91">
        <v>47.6</v>
      </c>
      <c r="P91">
        <v>26.7</v>
      </c>
      <c r="Q91">
        <v>0</v>
      </c>
      <c r="R91">
        <v>820943.8</v>
      </c>
      <c r="S91">
        <v>12.54</v>
      </c>
      <c r="T91">
        <v>35.700000000000003</v>
      </c>
      <c r="U91">
        <v>287.10000000000002</v>
      </c>
      <c r="V91">
        <v>42</v>
      </c>
      <c r="W91">
        <v>24</v>
      </c>
      <c r="X91">
        <v>8.8000000000000007</v>
      </c>
      <c r="Y91">
        <v>702300.4</v>
      </c>
      <c r="Z91">
        <v>10.28</v>
      </c>
      <c r="AA91">
        <v>31.2</v>
      </c>
      <c r="AB91">
        <v>240.3</v>
      </c>
      <c r="AC91">
        <v>51.7</v>
      </c>
      <c r="AD91">
        <v>19.600000000000001</v>
      </c>
      <c r="AE91">
        <v>35.799999999999997</v>
      </c>
      <c r="AF91">
        <v>516508.3</v>
      </c>
      <c r="AG91">
        <v>6.88</v>
      </c>
      <c r="AH91">
        <v>25.1</v>
      </c>
      <c r="AI91">
        <v>185.8</v>
      </c>
      <c r="AJ91">
        <v>26.6</v>
      </c>
      <c r="AK91">
        <v>15.2</v>
      </c>
      <c r="AL91">
        <v>79.2</v>
      </c>
      <c r="AM91">
        <v>341587.20000000001</v>
      </c>
      <c r="AN91">
        <v>6.51</v>
      </c>
      <c r="AO91">
        <v>17.3</v>
      </c>
      <c r="AP91">
        <v>127.6</v>
      </c>
      <c r="AQ91">
        <v>33</v>
      </c>
      <c r="AR91">
        <v>11.4</v>
      </c>
      <c r="AS91">
        <v>39.6</v>
      </c>
      <c r="AT91">
        <v>338230.9</v>
      </c>
      <c r="AU91">
        <v>5.62</v>
      </c>
      <c r="AV91">
        <v>12.7</v>
      </c>
      <c r="AW91">
        <v>72.7</v>
      </c>
      <c r="AX91">
        <v>77</v>
      </c>
      <c r="AY91">
        <v>11.6</v>
      </c>
      <c r="AZ91">
        <v>77.2</v>
      </c>
      <c r="BA91">
        <v>353546.5</v>
      </c>
      <c r="BB91">
        <v>6.54</v>
      </c>
      <c r="BC91">
        <v>12.8</v>
      </c>
      <c r="BD91">
        <v>67.8</v>
      </c>
      <c r="BE91">
        <v>85</v>
      </c>
      <c r="BF91">
        <v>14.3</v>
      </c>
      <c r="BG91">
        <v>34</v>
      </c>
      <c r="BH91">
        <v>473262.5</v>
      </c>
      <c r="BI91">
        <v>6.28</v>
      </c>
      <c r="BJ91">
        <v>16.7</v>
      </c>
      <c r="BK91">
        <v>108.9</v>
      </c>
      <c r="BL91">
        <v>76.2</v>
      </c>
      <c r="BM91">
        <v>15.1</v>
      </c>
      <c r="BN91">
        <v>50.8</v>
      </c>
      <c r="BO91">
        <v>554947.19999999995</v>
      </c>
      <c r="BP91">
        <v>7.2</v>
      </c>
      <c r="BQ91">
        <v>19.600000000000001</v>
      </c>
      <c r="BR91">
        <v>125.8</v>
      </c>
      <c r="BS91">
        <v>76.2</v>
      </c>
      <c r="BT91">
        <v>18.100000000000001</v>
      </c>
      <c r="BU91">
        <v>11.2</v>
      </c>
      <c r="BV91">
        <v>789462.3</v>
      </c>
      <c r="BW91">
        <v>7.98</v>
      </c>
      <c r="BX91">
        <v>26.8</v>
      </c>
      <c r="BY91">
        <v>214</v>
      </c>
      <c r="BZ91">
        <v>63.6</v>
      </c>
      <c r="CA91">
        <v>20.100000000000001</v>
      </c>
      <c r="CB91">
        <v>0</v>
      </c>
      <c r="CC91">
        <v>840311.6</v>
      </c>
      <c r="CD91">
        <v>9.8000000000000007</v>
      </c>
      <c r="CE91">
        <v>30.4</v>
      </c>
      <c r="CF91">
        <v>244.3</v>
      </c>
      <c r="CG91">
        <v>55.7</v>
      </c>
      <c r="CH91">
        <v>22.8</v>
      </c>
      <c r="CI91">
        <v>0.2</v>
      </c>
      <c r="CJ91">
        <v>1002618.3</v>
      </c>
      <c r="CK91">
        <v>12.06</v>
      </c>
      <c r="CL91">
        <v>33.4</v>
      </c>
      <c r="CM91">
        <v>317.60000000000002</v>
      </c>
      <c r="CN91">
        <v>48.7</v>
      </c>
      <c r="CP91" s="3">
        <v>283.32452813333333</v>
      </c>
      <c r="CQ91" s="3">
        <v>368.2939243092531</v>
      </c>
      <c r="CR91" s="3">
        <v>330.59328943508331</v>
      </c>
      <c r="CS91" s="3">
        <v>279.4513129062604</v>
      </c>
      <c r="CT91" s="3">
        <v>325.40383910199995</v>
      </c>
      <c r="CU91" s="7">
        <v>0.06</v>
      </c>
      <c r="CV91" s="7">
        <v>0.14000000000000001</v>
      </c>
      <c r="CW91" s="7">
        <v>7.0000000000000007E-2</v>
      </c>
      <c r="CX91" s="7">
        <v>0.04</v>
      </c>
      <c r="CY91" s="3">
        <f t="shared" si="2"/>
        <v>100.95844144698508</v>
      </c>
      <c r="CZ91">
        <v>1638</v>
      </c>
      <c r="DA91">
        <v>683</v>
      </c>
      <c r="DB91">
        <v>566200</v>
      </c>
      <c r="DC91">
        <v>1514</v>
      </c>
      <c r="DE91" t="s">
        <v>147</v>
      </c>
      <c r="DK91" s="5">
        <v>2834.2396415303024</v>
      </c>
      <c r="DM91" s="5">
        <v>1382.8425481649249</v>
      </c>
    </row>
    <row r="92" spans="1:117" x14ac:dyDescent="0.25">
      <c r="A92" t="s">
        <v>107</v>
      </c>
      <c r="B92" t="s">
        <v>125</v>
      </c>
      <c r="C92">
        <v>116.00015</v>
      </c>
      <c r="D92">
        <v>-30.659594999999999</v>
      </c>
      <c r="E92">
        <v>2015</v>
      </c>
      <c r="F92" t="s">
        <v>125</v>
      </c>
      <c r="G92" t="s">
        <v>139</v>
      </c>
      <c r="H92" t="s">
        <v>142</v>
      </c>
      <c r="I92">
        <v>26.5</v>
      </c>
      <c r="J92">
        <v>0.4</v>
      </c>
      <c r="K92">
        <v>933882.4</v>
      </c>
      <c r="L92">
        <v>11.69</v>
      </c>
      <c r="M92">
        <v>35.6</v>
      </c>
      <c r="N92">
        <v>334.5</v>
      </c>
      <c r="O92">
        <v>41.4</v>
      </c>
      <c r="P92">
        <v>26.7</v>
      </c>
      <c r="Q92">
        <v>20.2</v>
      </c>
      <c r="R92">
        <v>754763.8</v>
      </c>
      <c r="S92">
        <v>10.85</v>
      </c>
      <c r="T92">
        <v>33.799999999999997</v>
      </c>
      <c r="U92">
        <v>250.6</v>
      </c>
      <c r="V92">
        <v>49.7</v>
      </c>
      <c r="W92">
        <v>22.7</v>
      </c>
      <c r="X92">
        <v>28.6</v>
      </c>
      <c r="Y92">
        <v>654261.4</v>
      </c>
      <c r="Z92">
        <v>9.8699999999999992</v>
      </c>
      <c r="AA92">
        <v>28.4</v>
      </c>
      <c r="AB92">
        <v>214.2</v>
      </c>
      <c r="AC92">
        <v>55.9</v>
      </c>
      <c r="AD92">
        <v>19.600000000000001</v>
      </c>
      <c r="AE92">
        <v>19</v>
      </c>
      <c r="AF92">
        <v>489558.5</v>
      </c>
      <c r="AG92">
        <v>9.6</v>
      </c>
      <c r="AH92">
        <v>23</v>
      </c>
      <c r="AI92">
        <v>155.1</v>
      </c>
      <c r="AJ92">
        <v>57.7</v>
      </c>
      <c r="AK92">
        <v>14.5</v>
      </c>
      <c r="AL92">
        <v>35.200000000000003</v>
      </c>
      <c r="AM92">
        <v>437051.5</v>
      </c>
      <c r="AN92">
        <v>7.52</v>
      </c>
      <c r="AO92">
        <v>17.399999999999999</v>
      </c>
      <c r="AP92">
        <v>119.6</v>
      </c>
      <c r="AQ92">
        <v>64.900000000000006</v>
      </c>
      <c r="AR92">
        <v>14</v>
      </c>
      <c r="AS92">
        <v>41.6</v>
      </c>
      <c r="AT92">
        <v>350051.8</v>
      </c>
      <c r="AU92">
        <v>7.68</v>
      </c>
      <c r="AV92">
        <v>15.4</v>
      </c>
      <c r="AW92">
        <v>88.7</v>
      </c>
      <c r="AX92">
        <v>71.8</v>
      </c>
      <c r="AY92">
        <v>12.3</v>
      </c>
      <c r="AZ92">
        <v>6.6</v>
      </c>
      <c r="BA92">
        <v>320492.09999999998</v>
      </c>
      <c r="BB92">
        <v>6.08</v>
      </c>
      <c r="BC92">
        <v>13.5</v>
      </c>
      <c r="BD92">
        <v>72.599999999999994</v>
      </c>
      <c r="BE92">
        <v>76.5</v>
      </c>
      <c r="BF92">
        <v>12.4</v>
      </c>
      <c r="BG92">
        <v>83.4</v>
      </c>
      <c r="BH92">
        <v>428448.4</v>
      </c>
      <c r="BI92">
        <v>6.55</v>
      </c>
      <c r="BJ92">
        <v>14</v>
      </c>
      <c r="BK92">
        <v>82.4</v>
      </c>
      <c r="BL92">
        <v>81.599999999999994</v>
      </c>
      <c r="BM92">
        <v>14</v>
      </c>
      <c r="BN92">
        <v>9.1999999999999993</v>
      </c>
      <c r="BO92">
        <v>632303.4</v>
      </c>
      <c r="BP92">
        <v>6.83</v>
      </c>
      <c r="BQ92">
        <v>19.100000000000001</v>
      </c>
      <c r="BR92">
        <v>153.9</v>
      </c>
      <c r="BS92">
        <v>67.2</v>
      </c>
      <c r="BT92">
        <v>19.7</v>
      </c>
      <c r="BU92">
        <v>1</v>
      </c>
      <c r="BV92">
        <v>697471</v>
      </c>
      <c r="BW92">
        <v>7.59</v>
      </c>
      <c r="BX92">
        <v>28.5</v>
      </c>
      <c r="BY92">
        <v>203.3</v>
      </c>
      <c r="BZ92">
        <v>57.9</v>
      </c>
      <c r="CA92">
        <v>22.3</v>
      </c>
      <c r="CB92">
        <v>15</v>
      </c>
      <c r="CC92">
        <v>840758.7</v>
      </c>
      <c r="CD92">
        <v>10.16</v>
      </c>
      <c r="CE92">
        <v>32.299999999999997</v>
      </c>
      <c r="CF92">
        <v>255</v>
      </c>
      <c r="CG92">
        <v>53.8</v>
      </c>
      <c r="CH92">
        <v>23.5</v>
      </c>
      <c r="CI92">
        <v>0.2</v>
      </c>
      <c r="CJ92">
        <v>950782.5</v>
      </c>
      <c r="CK92">
        <v>12.19</v>
      </c>
      <c r="CL92">
        <v>34.799999999999997</v>
      </c>
      <c r="CM92">
        <v>308.39999999999998</v>
      </c>
      <c r="CN92">
        <v>46.9</v>
      </c>
      <c r="CP92" s="3">
        <v>204.8839893083333</v>
      </c>
      <c r="CQ92" s="3">
        <v>357.71587473362189</v>
      </c>
      <c r="CR92" s="3">
        <v>322.98543302087501</v>
      </c>
      <c r="CS92" s="3">
        <v>251.33925340010413</v>
      </c>
      <c r="CT92" s="3">
        <v>238.07175714163543</v>
      </c>
      <c r="CU92" s="7">
        <v>0.06</v>
      </c>
      <c r="CV92" s="7">
        <v>0.14000000000000001</v>
      </c>
      <c r="CW92" s="7">
        <v>7.0000000000000007E-2</v>
      </c>
      <c r="CX92" s="7">
        <v>0.04</v>
      </c>
      <c r="CY92" s="3">
        <f t="shared" si="2"/>
        <v>93.797531130612526</v>
      </c>
      <c r="CZ92">
        <v>1468</v>
      </c>
      <c r="DA92">
        <v>695</v>
      </c>
      <c r="DB92">
        <v>628010</v>
      </c>
      <c r="DC92">
        <v>1524</v>
      </c>
      <c r="DE92" t="s">
        <v>147</v>
      </c>
      <c r="DK92" s="5">
        <v>2540.0877861822246</v>
      </c>
      <c r="DM92" s="5">
        <v>1407.1384640916879</v>
      </c>
    </row>
    <row r="93" spans="1:117" x14ac:dyDescent="0.25">
      <c r="A93" t="s">
        <v>107</v>
      </c>
      <c r="B93" t="s">
        <v>125</v>
      </c>
      <c r="C93">
        <v>116.00015</v>
      </c>
      <c r="D93">
        <v>-30.659594999999999</v>
      </c>
      <c r="E93">
        <v>2016</v>
      </c>
      <c r="F93" t="s">
        <v>125</v>
      </c>
      <c r="G93" t="s">
        <v>139</v>
      </c>
      <c r="H93" t="s">
        <v>142</v>
      </c>
      <c r="I93">
        <v>25.5</v>
      </c>
      <c r="J93">
        <v>94.4</v>
      </c>
      <c r="K93">
        <v>772570.6</v>
      </c>
      <c r="L93">
        <v>10.96</v>
      </c>
      <c r="M93">
        <v>33.799999999999997</v>
      </c>
      <c r="N93">
        <v>263.10000000000002</v>
      </c>
      <c r="O93">
        <v>53.4</v>
      </c>
      <c r="P93">
        <v>25.9</v>
      </c>
      <c r="Q93">
        <v>0</v>
      </c>
      <c r="R93">
        <v>858282.4</v>
      </c>
      <c r="S93">
        <v>11.62</v>
      </c>
      <c r="T93">
        <v>34.5</v>
      </c>
      <c r="U93">
        <v>293.5</v>
      </c>
      <c r="V93">
        <v>42</v>
      </c>
      <c r="W93">
        <v>23.8</v>
      </c>
      <c r="X93">
        <v>53.8</v>
      </c>
      <c r="Y93">
        <v>647302.69999999995</v>
      </c>
      <c r="Z93">
        <v>10.42</v>
      </c>
      <c r="AA93">
        <v>29.6</v>
      </c>
      <c r="AB93">
        <v>211.1</v>
      </c>
      <c r="AC93">
        <v>57.7</v>
      </c>
      <c r="AD93">
        <v>19.5</v>
      </c>
      <c r="AE93">
        <v>57</v>
      </c>
      <c r="AF93">
        <v>434542.3</v>
      </c>
      <c r="AG93">
        <v>7.88</v>
      </c>
      <c r="AH93">
        <v>21.9</v>
      </c>
      <c r="AI93">
        <v>123.1</v>
      </c>
      <c r="AJ93">
        <v>70.8</v>
      </c>
      <c r="AK93">
        <v>13.4</v>
      </c>
      <c r="AL93">
        <v>28.2</v>
      </c>
      <c r="AM93">
        <v>412675.3</v>
      </c>
      <c r="AN93">
        <v>5.1100000000000003</v>
      </c>
      <c r="AO93">
        <v>15.9</v>
      </c>
      <c r="AP93">
        <v>87.7</v>
      </c>
      <c r="AQ93">
        <v>79</v>
      </c>
      <c r="AR93">
        <v>11.7</v>
      </c>
      <c r="AS93">
        <v>70.2</v>
      </c>
      <c r="AT93">
        <v>319099.40000000002</v>
      </c>
      <c r="AU93">
        <v>5.21</v>
      </c>
      <c r="AV93">
        <v>13.4</v>
      </c>
      <c r="AW93">
        <v>63</v>
      </c>
      <c r="AX93">
        <v>82.7</v>
      </c>
      <c r="AY93">
        <v>10.6</v>
      </c>
      <c r="AZ93">
        <v>72.400000000000006</v>
      </c>
      <c r="BA93">
        <v>364610</v>
      </c>
      <c r="BB93">
        <v>6.63</v>
      </c>
      <c r="BC93">
        <v>12.4</v>
      </c>
      <c r="BD93">
        <v>68.7</v>
      </c>
      <c r="BE93">
        <v>82.4</v>
      </c>
      <c r="BF93">
        <v>10.7</v>
      </c>
      <c r="BG93">
        <v>66.400000000000006</v>
      </c>
      <c r="BH93">
        <v>426304.4</v>
      </c>
      <c r="BI93">
        <v>6.35</v>
      </c>
      <c r="BJ93">
        <v>13.8</v>
      </c>
      <c r="BK93">
        <v>83.1</v>
      </c>
      <c r="BL93">
        <v>82</v>
      </c>
      <c r="BM93">
        <v>10.9</v>
      </c>
      <c r="BN93">
        <v>25</v>
      </c>
      <c r="BO93">
        <v>563268.6</v>
      </c>
      <c r="BP93">
        <v>6.19</v>
      </c>
      <c r="BQ93">
        <v>15.7</v>
      </c>
      <c r="BR93">
        <v>114.8</v>
      </c>
      <c r="BS93">
        <v>78.099999999999994</v>
      </c>
      <c r="BT93">
        <v>15.2</v>
      </c>
      <c r="BU93">
        <v>12.2</v>
      </c>
      <c r="BV93">
        <v>808304.3</v>
      </c>
      <c r="BW93">
        <v>8.75</v>
      </c>
      <c r="BX93">
        <v>23.3</v>
      </c>
      <c r="BY93">
        <v>207.7</v>
      </c>
      <c r="BZ93">
        <v>63.8</v>
      </c>
      <c r="CA93">
        <v>21</v>
      </c>
      <c r="CB93">
        <v>9</v>
      </c>
      <c r="CC93">
        <v>927778.8</v>
      </c>
      <c r="CD93">
        <v>10.18</v>
      </c>
      <c r="CE93">
        <v>31</v>
      </c>
      <c r="CF93">
        <v>283</v>
      </c>
      <c r="CG93">
        <v>49.5</v>
      </c>
      <c r="CH93">
        <v>22.3</v>
      </c>
      <c r="CI93">
        <v>6</v>
      </c>
      <c r="CJ93">
        <v>1016821.7</v>
      </c>
      <c r="CK93">
        <v>11.95</v>
      </c>
      <c r="CL93">
        <v>33.9</v>
      </c>
      <c r="CM93">
        <v>318.89999999999998</v>
      </c>
      <c r="CN93">
        <v>48.9</v>
      </c>
      <c r="CP93" s="3">
        <v>133.12695639999998</v>
      </c>
      <c r="CQ93" s="3">
        <v>265.94031967119787</v>
      </c>
      <c r="CR93" s="3">
        <v>244.36784107392498</v>
      </c>
      <c r="CS93" s="3">
        <v>168.48709864302083</v>
      </c>
      <c r="CT93" s="3">
        <v>219.627445633875</v>
      </c>
      <c r="CU93" s="7">
        <v>0.06</v>
      </c>
      <c r="CV93" s="7">
        <v>0.14000000000000001</v>
      </c>
      <c r="CW93" s="7">
        <v>7.0000000000000007E-2</v>
      </c>
      <c r="CX93" s="7">
        <v>0.04</v>
      </c>
      <c r="CY93" s="3">
        <f t="shared" si="2"/>
        <v>70.747111660987827</v>
      </c>
      <c r="CZ93">
        <v>1426</v>
      </c>
      <c r="DA93">
        <v>702</v>
      </c>
      <c r="DB93">
        <v>459370</v>
      </c>
      <c r="DC93">
        <v>1326</v>
      </c>
      <c r="DE93" t="s">
        <v>147</v>
      </c>
      <c r="DK93" s="5">
        <v>2467.4149748609348</v>
      </c>
      <c r="DM93" s="5">
        <v>1421.3110817156328</v>
      </c>
    </row>
    <row r="94" spans="1:117" x14ac:dyDescent="0.25">
      <c r="A94" t="s">
        <v>107</v>
      </c>
      <c r="B94" t="s">
        <v>125</v>
      </c>
      <c r="C94">
        <v>116.00015</v>
      </c>
      <c r="D94">
        <v>-30.659594999999999</v>
      </c>
      <c r="E94">
        <v>2017</v>
      </c>
      <c r="F94" t="s">
        <v>125</v>
      </c>
      <c r="G94" t="s">
        <v>139</v>
      </c>
      <c r="H94" t="s">
        <v>142</v>
      </c>
      <c r="I94">
        <v>24.9</v>
      </c>
      <c r="J94">
        <v>80</v>
      </c>
      <c r="K94">
        <v>928321.9</v>
      </c>
      <c r="L94">
        <v>11.41</v>
      </c>
      <c r="M94">
        <v>35.4</v>
      </c>
      <c r="N94">
        <v>314.7</v>
      </c>
      <c r="O94">
        <v>47.3</v>
      </c>
      <c r="P94">
        <v>24.6</v>
      </c>
      <c r="Q94">
        <v>41</v>
      </c>
      <c r="R94">
        <v>722067.7</v>
      </c>
      <c r="S94">
        <v>11.45</v>
      </c>
      <c r="T94">
        <v>30.3</v>
      </c>
      <c r="U94">
        <v>221.3</v>
      </c>
      <c r="V94">
        <v>58.8</v>
      </c>
      <c r="W94">
        <v>22.5</v>
      </c>
      <c r="X94">
        <v>21.6</v>
      </c>
      <c r="Y94">
        <v>683487.6</v>
      </c>
      <c r="Z94">
        <v>9.3800000000000008</v>
      </c>
      <c r="AA94">
        <v>28.5</v>
      </c>
      <c r="AB94">
        <v>216.3</v>
      </c>
      <c r="AC94">
        <v>56.3</v>
      </c>
      <c r="AD94">
        <v>19.600000000000001</v>
      </c>
      <c r="AE94">
        <v>0.2</v>
      </c>
      <c r="AF94">
        <v>559928.6</v>
      </c>
      <c r="AG94">
        <v>7.19</v>
      </c>
      <c r="AH94">
        <v>24.9</v>
      </c>
      <c r="AI94">
        <v>171.8</v>
      </c>
      <c r="AJ94">
        <v>53.2</v>
      </c>
      <c r="AK94">
        <v>15.7</v>
      </c>
      <c r="AL94">
        <v>27</v>
      </c>
      <c r="AM94">
        <v>428880.8</v>
      </c>
      <c r="AN94">
        <v>6.42</v>
      </c>
      <c r="AO94">
        <v>19</v>
      </c>
      <c r="AP94">
        <v>117.5</v>
      </c>
      <c r="AQ94">
        <v>64.7</v>
      </c>
      <c r="AR94">
        <v>13.3</v>
      </c>
      <c r="AS94">
        <v>19.399999999999999</v>
      </c>
      <c r="AT94">
        <v>356561.5</v>
      </c>
      <c r="AU94">
        <v>6.57</v>
      </c>
      <c r="AV94">
        <v>14.8</v>
      </c>
      <c r="AW94">
        <v>97.2</v>
      </c>
      <c r="AX94">
        <v>62.7</v>
      </c>
      <c r="AY94">
        <v>12.3</v>
      </c>
      <c r="AZ94">
        <v>62.6</v>
      </c>
      <c r="BA94">
        <v>338412</v>
      </c>
      <c r="BB94">
        <v>7.93</v>
      </c>
      <c r="BC94">
        <v>14.1</v>
      </c>
      <c r="BD94">
        <v>71.8</v>
      </c>
      <c r="BE94">
        <v>81.8</v>
      </c>
      <c r="BF94">
        <v>11.8</v>
      </c>
      <c r="BG94">
        <v>82.8</v>
      </c>
      <c r="BH94">
        <v>448758</v>
      </c>
      <c r="BI94">
        <v>6.81</v>
      </c>
      <c r="BJ94">
        <v>14.4</v>
      </c>
      <c r="BK94">
        <v>86</v>
      </c>
      <c r="BL94">
        <v>82.4</v>
      </c>
      <c r="BM94">
        <v>13.7</v>
      </c>
      <c r="BN94">
        <v>35.200000000000003</v>
      </c>
      <c r="BO94">
        <v>559799.6</v>
      </c>
      <c r="BP94">
        <v>6.85</v>
      </c>
      <c r="BQ94">
        <v>18.7</v>
      </c>
      <c r="BR94">
        <v>125.6</v>
      </c>
      <c r="BS94">
        <v>74.400000000000006</v>
      </c>
      <c r="BT94">
        <v>16.600000000000001</v>
      </c>
      <c r="BU94">
        <v>12.6</v>
      </c>
      <c r="BV94">
        <v>752481.3</v>
      </c>
      <c r="BW94">
        <v>9.07</v>
      </c>
      <c r="BX94">
        <v>23.2</v>
      </c>
      <c r="BY94">
        <v>201.6</v>
      </c>
      <c r="BZ94">
        <v>61.9</v>
      </c>
      <c r="CA94">
        <v>22.7</v>
      </c>
      <c r="CB94">
        <v>7.8</v>
      </c>
      <c r="CC94">
        <v>880290.1</v>
      </c>
      <c r="CD94">
        <v>10.27</v>
      </c>
      <c r="CE94">
        <v>31.9</v>
      </c>
      <c r="CF94">
        <v>278.39999999999998</v>
      </c>
      <c r="CG94">
        <v>48.3</v>
      </c>
      <c r="CH94">
        <v>23.9</v>
      </c>
      <c r="CI94">
        <v>12.8</v>
      </c>
      <c r="CJ94">
        <v>932167.7</v>
      </c>
      <c r="CK94">
        <v>11.14</v>
      </c>
      <c r="CL94">
        <v>33.4</v>
      </c>
      <c r="CM94">
        <v>297.2</v>
      </c>
      <c r="CN94">
        <v>48.4</v>
      </c>
      <c r="CP94" s="3">
        <v>119.07146077499999</v>
      </c>
      <c r="CQ94" s="3">
        <v>235.14453102913441</v>
      </c>
      <c r="CR94" s="3">
        <v>211.74875985799997</v>
      </c>
      <c r="CS94" s="3">
        <v>150.26687985202918</v>
      </c>
      <c r="CT94" s="3">
        <v>166.58352970400003</v>
      </c>
      <c r="CU94" s="7">
        <v>0.06</v>
      </c>
      <c r="CV94" s="7">
        <v>0.14000000000000001</v>
      </c>
      <c r="CW94" s="7">
        <v>7.0000000000000007E-2</v>
      </c>
      <c r="CX94" s="7">
        <v>0.04</v>
      </c>
      <c r="CY94" s="3">
        <f t="shared" si="2"/>
        <v>60.935521019670105</v>
      </c>
      <c r="CZ94">
        <v>1498</v>
      </c>
      <c r="DA94">
        <v>652</v>
      </c>
      <c r="DB94">
        <v>501380</v>
      </c>
      <c r="DC94">
        <v>1435</v>
      </c>
      <c r="DE94" t="s">
        <v>147</v>
      </c>
      <c r="DK94" s="5">
        <v>2591.9969371260031</v>
      </c>
      <c r="DM94" s="5">
        <v>1320.0780986874538</v>
      </c>
    </row>
    <row r="95" spans="1:117" x14ac:dyDescent="0.25">
      <c r="A95" t="s">
        <v>107</v>
      </c>
      <c r="B95" t="s">
        <v>125</v>
      </c>
      <c r="C95">
        <v>116.00015</v>
      </c>
      <c r="D95">
        <v>-30.659594999999999</v>
      </c>
      <c r="E95">
        <v>2018</v>
      </c>
      <c r="F95" t="s">
        <v>125</v>
      </c>
      <c r="G95" t="s">
        <v>139</v>
      </c>
      <c r="H95" t="s">
        <v>142</v>
      </c>
      <c r="I95">
        <v>24.8</v>
      </c>
      <c r="J95">
        <v>65.400000000000006</v>
      </c>
      <c r="K95">
        <v>915226.5</v>
      </c>
      <c r="L95">
        <v>12.97</v>
      </c>
      <c r="M95">
        <v>33.299999999999997</v>
      </c>
      <c r="N95">
        <v>303.7</v>
      </c>
      <c r="O95">
        <v>51.6</v>
      </c>
      <c r="P95">
        <v>24.3</v>
      </c>
      <c r="Q95">
        <v>25.4</v>
      </c>
      <c r="R95">
        <v>753601.8</v>
      </c>
      <c r="S95">
        <v>11.03</v>
      </c>
      <c r="T95">
        <v>32.799999999999997</v>
      </c>
      <c r="U95">
        <v>240.6</v>
      </c>
      <c r="V95">
        <v>55.2</v>
      </c>
      <c r="W95">
        <v>24.6</v>
      </c>
      <c r="X95">
        <v>0.4</v>
      </c>
      <c r="Y95">
        <v>714609.1</v>
      </c>
      <c r="Z95">
        <v>11.33</v>
      </c>
      <c r="AA95">
        <v>31.2</v>
      </c>
      <c r="AB95">
        <v>249.5</v>
      </c>
      <c r="AC95">
        <v>49.9</v>
      </c>
      <c r="AD95">
        <v>19.5</v>
      </c>
      <c r="AE95">
        <v>2.6</v>
      </c>
      <c r="AF95">
        <v>537682</v>
      </c>
      <c r="AG95">
        <v>7.46</v>
      </c>
      <c r="AH95">
        <v>25.4</v>
      </c>
      <c r="AI95">
        <v>158.69999999999999</v>
      </c>
      <c r="AJ95">
        <v>59.9</v>
      </c>
      <c r="AK95">
        <v>16.600000000000001</v>
      </c>
      <c r="AL95">
        <v>46.4</v>
      </c>
      <c r="AM95">
        <v>429068.1</v>
      </c>
      <c r="AN95">
        <v>8</v>
      </c>
      <c r="AO95">
        <v>19.600000000000001</v>
      </c>
      <c r="AP95">
        <v>139.1</v>
      </c>
      <c r="AQ95">
        <v>52.8</v>
      </c>
      <c r="AR95">
        <v>12.5</v>
      </c>
      <c r="AS95">
        <v>60.4</v>
      </c>
      <c r="AT95">
        <v>310755.3</v>
      </c>
      <c r="AU95">
        <v>5.22</v>
      </c>
      <c r="AV95">
        <v>13.9</v>
      </c>
      <c r="AW95">
        <v>63</v>
      </c>
      <c r="AX95">
        <v>78.8</v>
      </c>
      <c r="AY95">
        <v>12.3</v>
      </c>
      <c r="AZ95">
        <v>119.2</v>
      </c>
      <c r="BA95">
        <v>339308.1</v>
      </c>
      <c r="BB95">
        <v>7.39</v>
      </c>
      <c r="BC95">
        <v>13.6</v>
      </c>
      <c r="BD95">
        <v>67.7</v>
      </c>
      <c r="BE95">
        <v>83.9</v>
      </c>
      <c r="BF95">
        <v>11.3</v>
      </c>
      <c r="BG95">
        <v>110</v>
      </c>
      <c r="BH95">
        <v>442420.9</v>
      </c>
      <c r="BI95">
        <v>7.04</v>
      </c>
      <c r="BJ95">
        <v>13.5</v>
      </c>
      <c r="BK95">
        <v>87.5</v>
      </c>
      <c r="BL95">
        <v>81.7</v>
      </c>
      <c r="BM95">
        <v>12.8</v>
      </c>
      <c r="BN95">
        <v>16</v>
      </c>
      <c r="BO95">
        <v>601828.5</v>
      </c>
      <c r="BP95">
        <v>5.74</v>
      </c>
      <c r="BQ95">
        <v>16.399999999999999</v>
      </c>
      <c r="BR95">
        <v>131.5</v>
      </c>
      <c r="BS95">
        <v>76.900000000000006</v>
      </c>
      <c r="BT95">
        <v>17</v>
      </c>
      <c r="BU95">
        <v>40.200000000000003</v>
      </c>
      <c r="BV95">
        <v>703187.1</v>
      </c>
      <c r="BW95">
        <v>7.98</v>
      </c>
      <c r="BX95">
        <v>21.6</v>
      </c>
      <c r="BY95">
        <v>179</v>
      </c>
      <c r="BZ95">
        <v>70.7</v>
      </c>
      <c r="CA95">
        <v>19.5</v>
      </c>
      <c r="CB95">
        <v>3.2</v>
      </c>
      <c r="CC95">
        <v>897961.1</v>
      </c>
      <c r="CD95">
        <v>9.93</v>
      </c>
      <c r="CE95">
        <v>29</v>
      </c>
      <c r="CF95">
        <v>255.8</v>
      </c>
      <c r="CG95">
        <v>54.7</v>
      </c>
      <c r="CH95">
        <v>23.3</v>
      </c>
      <c r="CI95">
        <v>1.6</v>
      </c>
      <c r="CJ95">
        <v>961844.8</v>
      </c>
      <c r="CK95">
        <v>10</v>
      </c>
      <c r="CL95">
        <v>33.6</v>
      </c>
      <c r="CM95">
        <v>299.60000000000002</v>
      </c>
      <c r="CN95">
        <v>50.5</v>
      </c>
      <c r="CP95" s="3">
        <v>149.45420497500001</v>
      </c>
      <c r="CQ95" s="3">
        <v>274.57347051901041</v>
      </c>
      <c r="CR95" s="3">
        <v>237.4236465424917</v>
      </c>
      <c r="CS95" s="3">
        <v>174.41377918435418</v>
      </c>
      <c r="CT95" s="3">
        <v>166.56083829114584</v>
      </c>
      <c r="CU95" s="7">
        <v>0.06</v>
      </c>
      <c r="CV95" s="7">
        <v>0.14000000000000001</v>
      </c>
      <c r="CW95" s="7">
        <v>7.0000000000000007E-2</v>
      </c>
      <c r="CX95" s="7">
        <v>0.04</v>
      </c>
      <c r="CY95" s="3">
        <f t="shared" si="2"/>
        <v>68.585116821640085</v>
      </c>
      <c r="CZ95">
        <v>1364</v>
      </c>
      <c r="DA95">
        <v>600</v>
      </c>
      <c r="DB95">
        <v>496060</v>
      </c>
      <c r="DC95">
        <v>1349</v>
      </c>
      <c r="DE95" t="s">
        <v>147</v>
      </c>
      <c r="DK95" s="5">
        <v>2360.1360629104597</v>
      </c>
      <c r="DM95" s="5">
        <v>1214.7957963381477</v>
      </c>
    </row>
    <row r="96" spans="1:117" x14ac:dyDescent="0.25">
      <c r="A96" t="s">
        <v>107</v>
      </c>
      <c r="B96" t="s">
        <v>125</v>
      </c>
      <c r="C96">
        <v>116.00015</v>
      </c>
      <c r="D96">
        <v>-30.659594999999999</v>
      </c>
      <c r="E96">
        <v>2019</v>
      </c>
      <c r="F96" t="s">
        <v>125</v>
      </c>
      <c r="G96" t="s">
        <v>139</v>
      </c>
      <c r="H96" t="s">
        <v>142</v>
      </c>
      <c r="I96">
        <v>24.3</v>
      </c>
      <c r="J96">
        <v>2.2000000000000002</v>
      </c>
      <c r="K96">
        <v>998041.2</v>
      </c>
      <c r="L96">
        <v>10.63</v>
      </c>
      <c r="M96">
        <v>35.6</v>
      </c>
      <c r="N96">
        <v>322.8</v>
      </c>
      <c r="O96">
        <v>48.3</v>
      </c>
      <c r="P96">
        <v>25.3</v>
      </c>
      <c r="Q96">
        <v>0.6</v>
      </c>
      <c r="R96">
        <v>828692.8</v>
      </c>
      <c r="S96">
        <v>10.14</v>
      </c>
      <c r="T96">
        <v>36.200000000000003</v>
      </c>
      <c r="U96">
        <v>277.2</v>
      </c>
      <c r="V96">
        <v>47.6</v>
      </c>
      <c r="W96">
        <v>24.2</v>
      </c>
      <c r="X96">
        <v>0.6</v>
      </c>
      <c r="Y96">
        <v>661958.40000000002</v>
      </c>
      <c r="Z96">
        <v>9.02</v>
      </c>
      <c r="AA96">
        <v>32.200000000000003</v>
      </c>
      <c r="AB96">
        <v>223.5</v>
      </c>
      <c r="AC96">
        <v>50.8</v>
      </c>
      <c r="AD96">
        <v>19.2</v>
      </c>
      <c r="AE96">
        <v>18</v>
      </c>
      <c r="AF96">
        <v>549102.30000000005</v>
      </c>
      <c r="AG96">
        <v>7.85</v>
      </c>
      <c r="AH96">
        <v>24.2</v>
      </c>
      <c r="AI96">
        <v>169.5</v>
      </c>
      <c r="AJ96">
        <v>55.9</v>
      </c>
      <c r="AK96">
        <v>14.3</v>
      </c>
      <c r="AL96">
        <v>4.5999999999999996</v>
      </c>
      <c r="AM96">
        <v>435024.2</v>
      </c>
      <c r="AN96">
        <v>6.46</v>
      </c>
      <c r="AO96">
        <v>18</v>
      </c>
      <c r="AP96">
        <v>128.1</v>
      </c>
      <c r="AQ96">
        <v>56.3</v>
      </c>
      <c r="AR96">
        <v>13.1</v>
      </c>
      <c r="AS96">
        <v>104.6</v>
      </c>
      <c r="AT96">
        <v>299135.09999999998</v>
      </c>
      <c r="AU96">
        <v>8.02</v>
      </c>
      <c r="AV96">
        <v>14.6</v>
      </c>
      <c r="AW96">
        <v>79.2</v>
      </c>
      <c r="AX96">
        <v>70.099999999999994</v>
      </c>
      <c r="AY96">
        <v>11.7</v>
      </c>
      <c r="AZ96">
        <v>42.4</v>
      </c>
      <c r="BA96">
        <v>376311.3</v>
      </c>
      <c r="BB96">
        <v>4.88</v>
      </c>
      <c r="BC96">
        <v>13.1</v>
      </c>
      <c r="BD96">
        <v>73.3</v>
      </c>
      <c r="BE96">
        <v>80.400000000000006</v>
      </c>
      <c r="BF96">
        <v>12.3</v>
      </c>
      <c r="BG96">
        <v>53.8</v>
      </c>
      <c r="BH96">
        <v>491808.4</v>
      </c>
      <c r="BI96">
        <v>7.05</v>
      </c>
      <c r="BJ96">
        <v>14.1</v>
      </c>
      <c r="BK96">
        <v>116.3</v>
      </c>
      <c r="BL96">
        <v>72.5</v>
      </c>
      <c r="BM96">
        <v>14.8</v>
      </c>
      <c r="BN96">
        <v>7</v>
      </c>
      <c r="BO96">
        <v>652739.6</v>
      </c>
      <c r="BP96">
        <v>6.61</v>
      </c>
      <c r="BQ96">
        <v>19.5</v>
      </c>
      <c r="BR96">
        <v>160.30000000000001</v>
      </c>
      <c r="BS96">
        <v>69.3</v>
      </c>
      <c r="BT96">
        <v>17.8</v>
      </c>
      <c r="BU96">
        <v>19.8</v>
      </c>
      <c r="BV96">
        <v>801599.4</v>
      </c>
      <c r="BW96">
        <v>8.7100000000000009</v>
      </c>
      <c r="BX96">
        <v>26.9</v>
      </c>
      <c r="BY96">
        <v>223.2</v>
      </c>
      <c r="BZ96">
        <v>60.6</v>
      </c>
      <c r="CA96">
        <v>22.8</v>
      </c>
      <c r="CB96">
        <v>2.8</v>
      </c>
      <c r="CC96">
        <v>937507</v>
      </c>
      <c r="CD96">
        <v>10.75</v>
      </c>
      <c r="CE96">
        <v>33.9</v>
      </c>
      <c r="CF96">
        <v>302.2</v>
      </c>
      <c r="CG96">
        <v>43.6</v>
      </c>
      <c r="CH96">
        <v>26.4</v>
      </c>
      <c r="CI96">
        <v>0.4</v>
      </c>
      <c r="CJ96">
        <v>982932.7</v>
      </c>
      <c r="CK96">
        <v>10.220000000000001</v>
      </c>
      <c r="CL96">
        <v>39.299999999999997</v>
      </c>
      <c r="CM96">
        <v>338.9</v>
      </c>
      <c r="CN96">
        <v>41.3</v>
      </c>
      <c r="CP96" s="3">
        <v>151.20769046666666</v>
      </c>
      <c r="CQ96" s="3">
        <v>267.33967790703502</v>
      </c>
      <c r="CR96" s="3">
        <v>246.94953969827165</v>
      </c>
      <c r="CS96" s="3">
        <v>186.82042264949916</v>
      </c>
      <c r="CT96" s="3">
        <v>164.67061180174997</v>
      </c>
      <c r="CU96" s="7">
        <v>0.06</v>
      </c>
      <c r="CV96" s="7">
        <v>0.14000000000000001</v>
      </c>
      <c r="CW96" s="7">
        <v>7.0000000000000007E-2</v>
      </c>
      <c r="CX96" s="7">
        <v>0.04</v>
      </c>
      <c r="CY96" s="3">
        <f t="shared" si="2"/>
        <v>70.277570289715072</v>
      </c>
      <c r="CZ96">
        <v>1772</v>
      </c>
      <c r="DA96">
        <v>669</v>
      </c>
      <c r="DB96">
        <v>656390</v>
      </c>
      <c r="DC96">
        <v>1780</v>
      </c>
      <c r="DE96" t="s">
        <v>147</v>
      </c>
      <c r="DK96" s="5">
        <v>3066.1005157458462</v>
      </c>
      <c r="DM96" s="5">
        <v>1354.4973129170348</v>
      </c>
    </row>
    <row r="97" spans="1:117" x14ac:dyDescent="0.25">
      <c r="A97" t="s">
        <v>107</v>
      </c>
      <c r="B97" t="s">
        <v>125</v>
      </c>
      <c r="C97">
        <v>116.00015</v>
      </c>
      <c r="D97">
        <v>-30.659594999999999</v>
      </c>
      <c r="E97">
        <v>2020</v>
      </c>
      <c r="F97" t="s">
        <v>125</v>
      </c>
      <c r="G97" t="s">
        <v>139</v>
      </c>
      <c r="H97" t="s">
        <v>142</v>
      </c>
      <c r="I97">
        <v>24.9</v>
      </c>
      <c r="J97">
        <v>0.4</v>
      </c>
      <c r="K97">
        <v>992260.4</v>
      </c>
      <c r="L97">
        <v>11.46</v>
      </c>
      <c r="M97">
        <v>39.700000000000003</v>
      </c>
      <c r="N97">
        <v>328.9</v>
      </c>
      <c r="O97">
        <v>45.8</v>
      </c>
      <c r="P97">
        <v>26.1</v>
      </c>
      <c r="Q97">
        <v>63.6</v>
      </c>
      <c r="R97">
        <v>702862.1</v>
      </c>
      <c r="S97">
        <v>11.11</v>
      </c>
      <c r="T97">
        <v>35.6</v>
      </c>
      <c r="U97">
        <v>242.9</v>
      </c>
      <c r="V97">
        <v>52.8</v>
      </c>
      <c r="W97">
        <v>23.4</v>
      </c>
      <c r="X97">
        <v>2.6</v>
      </c>
      <c r="Y97">
        <v>659178.9</v>
      </c>
      <c r="Z97">
        <v>9.59</v>
      </c>
      <c r="AA97">
        <v>30</v>
      </c>
      <c r="AB97">
        <v>218</v>
      </c>
      <c r="AC97">
        <v>53.3</v>
      </c>
      <c r="AD97">
        <v>20.3</v>
      </c>
      <c r="AE97">
        <v>7.8</v>
      </c>
      <c r="AF97">
        <v>490070.4</v>
      </c>
      <c r="AG97">
        <v>7.16</v>
      </c>
      <c r="AH97">
        <v>26.4</v>
      </c>
      <c r="AI97">
        <v>154.30000000000001</v>
      </c>
      <c r="AJ97">
        <v>56.4</v>
      </c>
      <c r="AK97">
        <v>15</v>
      </c>
      <c r="AL97">
        <v>23</v>
      </c>
      <c r="AM97">
        <v>395549.5</v>
      </c>
      <c r="AN97">
        <v>8.27</v>
      </c>
      <c r="AO97">
        <v>18.600000000000001</v>
      </c>
      <c r="AP97">
        <v>119.6</v>
      </c>
      <c r="AQ97">
        <v>60.2</v>
      </c>
      <c r="AR97">
        <v>14.3</v>
      </c>
      <c r="AS97">
        <v>41.4</v>
      </c>
      <c r="AT97">
        <v>323920.40000000002</v>
      </c>
      <c r="AU97">
        <v>6.79</v>
      </c>
      <c r="AV97">
        <v>15.6</v>
      </c>
      <c r="AW97">
        <v>84</v>
      </c>
      <c r="AX97">
        <v>69</v>
      </c>
      <c r="AY97">
        <v>12.3</v>
      </c>
      <c r="AZ97">
        <v>22.2</v>
      </c>
      <c r="BA97">
        <v>390884.5</v>
      </c>
      <c r="BB97">
        <v>6.6</v>
      </c>
      <c r="BC97">
        <v>13.7</v>
      </c>
      <c r="BD97">
        <v>88.2</v>
      </c>
      <c r="BE97">
        <v>74.8</v>
      </c>
      <c r="BF97">
        <v>12</v>
      </c>
      <c r="BG97">
        <v>72.599999999999994</v>
      </c>
      <c r="BH97">
        <v>456832.1</v>
      </c>
      <c r="BI97">
        <v>7.44</v>
      </c>
      <c r="BJ97">
        <v>14.3</v>
      </c>
      <c r="BK97">
        <v>97.2</v>
      </c>
      <c r="BL97">
        <v>78.099999999999994</v>
      </c>
      <c r="BM97">
        <v>14.5</v>
      </c>
      <c r="BN97">
        <v>18.600000000000001</v>
      </c>
      <c r="BO97">
        <v>611546.80000000005</v>
      </c>
      <c r="BP97">
        <v>8.19</v>
      </c>
      <c r="BQ97">
        <v>18.600000000000001</v>
      </c>
      <c r="BR97">
        <v>154</v>
      </c>
      <c r="BS97">
        <v>68.5</v>
      </c>
      <c r="BT97">
        <v>18.600000000000001</v>
      </c>
      <c r="BU97">
        <v>1.8</v>
      </c>
      <c r="BV97">
        <v>820580.1</v>
      </c>
      <c r="BW97">
        <v>9.02</v>
      </c>
      <c r="BX97">
        <v>27.4</v>
      </c>
      <c r="BY97">
        <v>237.6</v>
      </c>
      <c r="BZ97">
        <v>53.6</v>
      </c>
      <c r="CA97">
        <v>19.3</v>
      </c>
      <c r="CB97">
        <v>36.4</v>
      </c>
      <c r="CC97">
        <v>841042.9</v>
      </c>
      <c r="CD97">
        <v>10.32</v>
      </c>
      <c r="CE97">
        <v>27.3</v>
      </c>
      <c r="CF97">
        <v>239.6</v>
      </c>
      <c r="CG97">
        <v>59.5</v>
      </c>
      <c r="CH97">
        <v>25.1</v>
      </c>
      <c r="CI97">
        <v>1.2</v>
      </c>
      <c r="CJ97">
        <v>1020748.6</v>
      </c>
      <c r="CK97">
        <v>11.66</v>
      </c>
      <c r="CL97">
        <v>35.700000000000003</v>
      </c>
      <c r="CM97">
        <v>344</v>
      </c>
      <c r="CN97">
        <v>39.4</v>
      </c>
      <c r="CP97" s="3">
        <v>137.12151142499999</v>
      </c>
      <c r="CQ97" s="3">
        <v>183.94377395835087</v>
      </c>
      <c r="CR97" s="3">
        <v>171.50265380089249</v>
      </c>
      <c r="CS97" s="3">
        <v>153.47587761539251</v>
      </c>
      <c r="CT97" s="3">
        <v>168.62831412656331</v>
      </c>
      <c r="CU97" s="7">
        <v>0.06</v>
      </c>
      <c r="CV97" s="7">
        <v>0.14000000000000001</v>
      </c>
      <c r="CW97" s="7">
        <v>7.0000000000000007E-2</v>
      </c>
      <c r="CX97" s="7">
        <v>0.04</v>
      </c>
      <c r="CY97" s="3">
        <f t="shared" si="2"/>
        <v>52.535441967766019</v>
      </c>
      <c r="CZ97">
        <v>1005</v>
      </c>
      <c r="DA97">
        <v>646</v>
      </c>
      <c r="DB97">
        <v>524950</v>
      </c>
      <c r="DC97">
        <v>1056</v>
      </c>
      <c r="DE97" t="s">
        <v>147</v>
      </c>
      <c r="DK97" s="5">
        <v>1738.9565566165775</v>
      </c>
      <c r="DM97" s="5">
        <v>1307.9301407240723</v>
      </c>
    </row>
    <row r="98" spans="1:117" x14ac:dyDescent="0.25">
      <c r="A98" t="s">
        <v>108</v>
      </c>
      <c r="B98" t="s">
        <v>126</v>
      </c>
      <c r="C98">
        <v>115.997377</v>
      </c>
      <c r="D98">
        <v>-29.220352999999999</v>
      </c>
      <c r="E98">
        <v>2013</v>
      </c>
      <c r="F98" t="s">
        <v>126</v>
      </c>
      <c r="G98" t="s">
        <v>141</v>
      </c>
      <c r="H98" t="s">
        <v>144</v>
      </c>
      <c r="I98">
        <v>28</v>
      </c>
      <c r="J98">
        <v>6.2</v>
      </c>
      <c r="K98">
        <v>935639.9</v>
      </c>
      <c r="L98">
        <v>18.100000000000001</v>
      </c>
      <c r="M98">
        <v>33.4</v>
      </c>
      <c r="N98">
        <v>366.9</v>
      </c>
      <c r="O98">
        <v>38.9</v>
      </c>
      <c r="P98">
        <v>29.7</v>
      </c>
      <c r="Q98">
        <v>1.6</v>
      </c>
      <c r="R98">
        <v>787300</v>
      </c>
      <c r="S98">
        <v>17.62</v>
      </c>
      <c r="T98">
        <v>35.6</v>
      </c>
      <c r="U98">
        <v>345.1</v>
      </c>
      <c r="V98">
        <v>27.9</v>
      </c>
      <c r="W98">
        <v>23.3</v>
      </c>
      <c r="X98">
        <v>25.6</v>
      </c>
      <c r="Y98">
        <v>694542.5</v>
      </c>
      <c r="Z98">
        <v>15.9</v>
      </c>
      <c r="AA98">
        <v>28.7</v>
      </c>
      <c r="AB98">
        <v>257.5</v>
      </c>
      <c r="AC98">
        <v>49.9</v>
      </c>
      <c r="AD98">
        <v>23.7</v>
      </c>
      <c r="AE98">
        <v>6.6</v>
      </c>
      <c r="AF98">
        <v>543673.69999999995</v>
      </c>
      <c r="AG98">
        <v>11.51</v>
      </c>
      <c r="AH98">
        <v>27</v>
      </c>
      <c r="AI98">
        <v>208.5</v>
      </c>
      <c r="AJ98">
        <v>46.3</v>
      </c>
      <c r="AK98">
        <v>15.7</v>
      </c>
      <c r="AL98">
        <v>63</v>
      </c>
      <c r="AM98">
        <v>420219.4</v>
      </c>
      <c r="AN98">
        <v>11.73</v>
      </c>
      <c r="AO98">
        <v>17.8</v>
      </c>
      <c r="AP98">
        <v>120.8</v>
      </c>
      <c r="AQ98">
        <v>66.5</v>
      </c>
      <c r="AR98">
        <v>12.6</v>
      </c>
      <c r="AS98">
        <v>13.8</v>
      </c>
      <c r="AT98">
        <v>379993.7</v>
      </c>
      <c r="AU98">
        <v>10.050000000000001</v>
      </c>
      <c r="AV98">
        <v>13.8</v>
      </c>
      <c r="AW98">
        <v>92.5</v>
      </c>
      <c r="AX98">
        <v>67.900000000000006</v>
      </c>
      <c r="AY98">
        <v>11.5</v>
      </c>
      <c r="AZ98">
        <v>24.4</v>
      </c>
      <c r="BA98">
        <v>424831.8</v>
      </c>
      <c r="BB98">
        <v>10.66</v>
      </c>
      <c r="BC98">
        <v>13</v>
      </c>
      <c r="BD98">
        <v>105.4</v>
      </c>
      <c r="BE98">
        <v>68.099999999999994</v>
      </c>
      <c r="BF98">
        <v>13.8</v>
      </c>
      <c r="BG98">
        <v>38</v>
      </c>
      <c r="BH98">
        <v>471901.1</v>
      </c>
      <c r="BI98">
        <v>9.9700000000000006</v>
      </c>
      <c r="BJ98">
        <v>16.100000000000001</v>
      </c>
      <c r="BK98">
        <v>119.7</v>
      </c>
      <c r="BL98">
        <v>69.599999999999994</v>
      </c>
      <c r="BM98">
        <v>14.7</v>
      </c>
      <c r="BN98">
        <v>18.2</v>
      </c>
      <c r="BO98">
        <v>608494.4</v>
      </c>
      <c r="BP98">
        <v>12.66</v>
      </c>
      <c r="BQ98">
        <v>18.600000000000001</v>
      </c>
      <c r="BR98">
        <v>146.30000000000001</v>
      </c>
      <c r="BS98">
        <v>70.599999999999994</v>
      </c>
      <c r="BT98">
        <v>19.8</v>
      </c>
      <c r="BU98">
        <v>10.6</v>
      </c>
      <c r="BV98">
        <v>863884.80000000005</v>
      </c>
      <c r="BW98">
        <v>12.9</v>
      </c>
      <c r="BX98">
        <v>24.4</v>
      </c>
      <c r="BY98">
        <v>270.2</v>
      </c>
      <c r="BZ98">
        <v>50</v>
      </c>
      <c r="CA98">
        <v>24.4</v>
      </c>
      <c r="CB98">
        <v>22.4</v>
      </c>
      <c r="CC98">
        <v>895132.1</v>
      </c>
      <c r="CD98">
        <v>15.69</v>
      </c>
      <c r="CE98">
        <v>29.2</v>
      </c>
      <c r="CF98">
        <v>317.7</v>
      </c>
      <c r="CG98">
        <v>44.6</v>
      </c>
      <c r="CH98">
        <v>26.6</v>
      </c>
      <c r="CI98">
        <v>2</v>
      </c>
      <c r="CJ98">
        <v>976419.4</v>
      </c>
      <c r="CK98">
        <v>16.21</v>
      </c>
      <c r="CL98">
        <v>31.1</v>
      </c>
      <c r="CM98">
        <v>369.7</v>
      </c>
      <c r="CN98">
        <v>36</v>
      </c>
      <c r="CP98" s="3">
        <v>344.25478384166667</v>
      </c>
      <c r="CQ98" s="3">
        <v>485.1324771412531</v>
      </c>
      <c r="CR98" s="3">
        <v>453.99912920229173</v>
      </c>
      <c r="CS98" s="3">
        <v>379.15555696741984</v>
      </c>
      <c r="CT98" s="3">
        <v>431.36433691804177</v>
      </c>
      <c r="CU98" s="7">
        <v>0.06</v>
      </c>
      <c r="CV98" s="7">
        <v>0.14000000000000001</v>
      </c>
      <c r="CW98" s="7">
        <v>7.0000000000000007E-2</v>
      </c>
      <c r="CX98" s="7">
        <v>0.04</v>
      </c>
      <c r="CY98" s="3">
        <f t="shared" si="2"/>
        <v>136.46328918123712</v>
      </c>
      <c r="CZ98">
        <v>1198</v>
      </c>
      <c r="DA98">
        <v>1617</v>
      </c>
      <c r="DB98">
        <v>619230</v>
      </c>
      <c r="DC98">
        <v>1156</v>
      </c>
      <c r="DE98" t="s">
        <v>147</v>
      </c>
      <c r="DK98" s="5">
        <v>1198</v>
      </c>
      <c r="DM98" s="5">
        <v>1617</v>
      </c>
    </row>
    <row r="99" spans="1:117" x14ac:dyDescent="0.25">
      <c r="A99" t="s">
        <v>108</v>
      </c>
      <c r="B99" t="s">
        <v>126</v>
      </c>
      <c r="C99">
        <v>115.997377</v>
      </c>
      <c r="D99">
        <v>-29.220352999999999</v>
      </c>
      <c r="E99">
        <v>2014</v>
      </c>
      <c r="F99" t="s">
        <v>126</v>
      </c>
      <c r="G99" t="s">
        <v>141</v>
      </c>
      <c r="H99" t="s">
        <v>144</v>
      </c>
      <c r="I99">
        <v>28.1</v>
      </c>
      <c r="J99">
        <v>13</v>
      </c>
      <c r="K99">
        <v>947384.1</v>
      </c>
      <c r="L99">
        <v>18.18</v>
      </c>
      <c r="M99">
        <v>33.299999999999997</v>
      </c>
      <c r="N99">
        <v>367.9</v>
      </c>
      <c r="O99">
        <v>41.2</v>
      </c>
      <c r="P99">
        <v>29.6</v>
      </c>
      <c r="Q99">
        <v>3.6</v>
      </c>
      <c r="R99">
        <v>788544.4</v>
      </c>
      <c r="S99">
        <v>16.47</v>
      </c>
      <c r="T99">
        <v>35.200000000000003</v>
      </c>
      <c r="U99">
        <v>318.10000000000002</v>
      </c>
      <c r="V99">
        <v>37</v>
      </c>
      <c r="W99">
        <v>26.4</v>
      </c>
      <c r="X99">
        <v>2.4</v>
      </c>
      <c r="Y99">
        <v>702928.1</v>
      </c>
      <c r="Z99">
        <v>13.62</v>
      </c>
      <c r="AA99">
        <v>31.4</v>
      </c>
      <c r="AB99">
        <v>278.7</v>
      </c>
      <c r="AC99">
        <v>42.9</v>
      </c>
      <c r="AD99">
        <v>21.8</v>
      </c>
      <c r="AE99">
        <v>65</v>
      </c>
      <c r="AF99">
        <v>549217.19999999995</v>
      </c>
      <c r="AG99">
        <v>11.37</v>
      </c>
      <c r="AH99">
        <v>25.3</v>
      </c>
      <c r="AI99">
        <v>193.9</v>
      </c>
      <c r="AJ99">
        <v>50.6</v>
      </c>
      <c r="AK99">
        <v>16.100000000000001</v>
      </c>
      <c r="AL99">
        <v>33.799999999999997</v>
      </c>
      <c r="AM99">
        <v>379674.6</v>
      </c>
      <c r="AN99">
        <v>9.4</v>
      </c>
      <c r="AO99">
        <v>17.2</v>
      </c>
      <c r="AP99">
        <v>95.6</v>
      </c>
      <c r="AQ99">
        <v>76.7</v>
      </c>
      <c r="AR99">
        <v>12.9</v>
      </c>
      <c r="AS99">
        <v>18</v>
      </c>
      <c r="AT99">
        <v>381988.7</v>
      </c>
      <c r="AU99">
        <v>9.9499999999999993</v>
      </c>
      <c r="AV99">
        <v>13.8</v>
      </c>
      <c r="AW99">
        <v>101.7</v>
      </c>
      <c r="AX99">
        <v>66.3</v>
      </c>
      <c r="AY99">
        <v>12.3</v>
      </c>
      <c r="AZ99">
        <v>32.6</v>
      </c>
      <c r="BA99">
        <v>400603.6</v>
      </c>
      <c r="BB99">
        <v>8.36</v>
      </c>
      <c r="BC99">
        <v>13.7</v>
      </c>
      <c r="BD99">
        <v>87.1</v>
      </c>
      <c r="BE99">
        <v>78.400000000000006</v>
      </c>
      <c r="BF99">
        <v>16.7</v>
      </c>
      <c r="BG99">
        <v>31</v>
      </c>
      <c r="BH99">
        <v>500868.9</v>
      </c>
      <c r="BI99">
        <v>8.41</v>
      </c>
      <c r="BJ99">
        <v>18.100000000000001</v>
      </c>
      <c r="BK99">
        <v>146.5</v>
      </c>
      <c r="BL99">
        <v>58.1</v>
      </c>
      <c r="BM99">
        <v>17.399999999999999</v>
      </c>
      <c r="BN99">
        <v>37.4</v>
      </c>
      <c r="BO99">
        <v>579553.19999999995</v>
      </c>
      <c r="BP99">
        <v>10.31</v>
      </c>
      <c r="BQ99">
        <v>20.3</v>
      </c>
      <c r="BR99">
        <v>160.1</v>
      </c>
      <c r="BS99">
        <v>64.599999999999994</v>
      </c>
      <c r="BT99">
        <v>20.2</v>
      </c>
      <c r="BU99">
        <v>4.2</v>
      </c>
      <c r="BV99">
        <v>805453.6</v>
      </c>
      <c r="BW99">
        <v>11.87</v>
      </c>
      <c r="BX99">
        <v>26.8</v>
      </c>
      <c r="BY99">
        <v>248.5</v>
      </c>
      <c r="BZ99">
        <v>53.7</v>
      </c>
      <c r="CA99">
        <v>22</v>
      </c>
      <c r="CB99">
        <v>0</v>
      </c>
      <c r="CC99">
        <v>889063</v>
      </c>
      <c r="CD99">
        <v>14.16</v>
      </c>
      <c r="CE99">
        <v>31.2</v>
      </c>
      <c r="CF99">
        <v>289.8</v>
      </c>
      <c r="CG99">
        <v>48.9</v>
      </c>
      <c r="CH99">
        <v>25.4</v>
      </c>
      <c r="CI99">
        <v>0</v>
      </c>
      <c r="CJ99">
        <v>1024777.2</v>
      </c>
      <c r="CK99">
        <v>17.11</v>
      </c>
      <c r="CL99">
        <v>35.5</v>
      </c>
      <c r="CM99">
        <v>375.2</v>
      </c>
      <c r="CN99">
        <v>39.1</v>
      </c>
      <c r="CP99" s="3">
        <v>283.32452813333333</v>
      </c>
      <c r="CQ99" s="3">
        <v>368.2939243092531</v>
      </c>
      <c r="CR99" s="3">
        <v>330.59328943508331</v>
      </c>
      <c r="CS99" s="3">
        <v>279.4513129062604</v>
      </c>
      <c r="CT99" s="3">
        <v>325.40383910199995</v>
      </c>
      <c r="CU99" s="7">
        <v>0.06</v>
      </c>
      <c r="CV99" s="7">
        <v>0.14000000000000001</v>
      </c>
      <c r="CW99" s="7">
        <v>7.0000000000000007E-2</v>
      </c>
      <c r="CX99" s="7">
        <v>0.04</v>
      </c>
      <c r="CY99" s="3">
        <f t="shared" si="2"/>
        <v>100.95844144698508</v>
      </c>
      <c r="CZ99">
        <v>2476</v>
      </c>
      <c r="DA99">
        <v>1792</v>
      </c>
      <c r="DB99">
        <v>885690</v>
      </c>
      <c r="DC99">
        <v>2342</v>
      </c>
      <c r="DE99" t="s">
        <v>147</v>
      </c>
      <c r="DK99" s="5">
        <v>2476</v>
      </c>
      <c r="DM99" s="5">
        <v>1792</v>
      </c>
    </row>
    <row r="100" spans="1:117" x14ac:dyDescent="0.25">
      <c r="A100" t="s">
        <v>108</v>
      </c>
      <c r="B100" t="s">
        <v>126</v>
      </c>
      <c r="C100">
        <v>115.997377</v>
      </c>
      <c r="D100">
        <v>-29.220352999999999</v>
      </c>
      <c r="E100">
        <v>2015</v>
      </c>
      <c r="F100" t="s">
        <v>126</v>
      </c>
      <c r="G100" t="s">
        <v>141</v>
      </c>
      <c r="H100" t="s">
        <v>144</v>
      </c>
      <c r="I100">
        <v>29.4</v>
      </c>
      <c r="J100">
        <v>0.6</v>
      </c>
      <c r="K100">
        <v>946839.1</v>
      </c>
      <c r="L100">
        <v>16.350000000000001</v>
      </c>
      <c r="M100">
        <v>9.3000000000000007</v>
      </c>
      <c r="N100">
        <v>395</v>
      </c>
      <c r="O100">
        <v>31.1</v>
      </c>
      <c r="P100">
        <v>28.7</v>
      </c>
      <c r="Q100">
        <v>27.4</v>
      </c>
      <c r="R100">
        <v>600261.1</v>
      </c>
      <c r="S100">
        <v>15.63</v>
      </c>
      <c r="T100">
        <v>35.6</v>
      </c>
      <c r="U100">
        <v>230.9</v>
      </c>
      <c r="V100">
        <v>42.8</v>
      </c>
      <c r="W100">
        <v>23.8</v>
      </c>
      <c r="X100">
        <v>178.2</v>
      </c>
      <c r="Y100">
        <v>656954.80000000005</v>
      </c>
      <c r="Z100">
        <v>14.13</v>
      </c>
      <c r="AA100">
        <v>27.4</v>
      </c>
      <c r="AB100">
        <v>231.3</v>
      </c>
      <c r="AC100">
        <v>55.5</v>
      </c>
      <c r="AD100">
        <v>20.5</v>
      </c>
      <c r="AE100">
        <v>45.4</v>
      </c>
      <c r="AF100">
        <v>498864.7</v>
      </c>
      <c r="AG100">
        <v>12.99</v>
      </c>
      <c r="AH100">
        <v>23</v>
      </c>
      <c r="AI100">
        <v>171.6</v>
      </c>
      <c r="AJ100">
        <v>55.4</v>
      </c>
      <c r="AK100">
        <v>15.8</v>
      </c>
      <c r="AL100">
        <v>30.8</v>
      </c>
      <c r="AM100">
        <v>456397.4</v>
      </c>
      <c r="AN100">
        <v>10.83</v>
      </c>
      <c r="AO100">
        <v>17.899999999999999</v>
      </c>
      <c r="AP100">
        <v>142.80000000000001</v>
      </c>
      <c r="AQ100">
        <v>57.5</v>
      </c>
      <c r="AR100">
        <v>15.1</v>
      </c>
      <c r="AS100">
        <v>30.8</v>
      </c>
      <c r="AT100">
        <v>349612</v>
      </c>
      <c r="AU100">
        <v>10.25</v>
      </c>
      <c r="AV100">
        <v>15.8</v>
      </c>
      <c r="AW100">
        <v>102.1</v>
      </c>
      <c r="AX100">
        <v>66</v>
      </c>
      <c r="AY100">
        <v>13.5</v>
      </c>
      <c r="AZ100">
        <v>51.6</v>
      </c>
      <c r="BA100">
        <v>365987</v>
      </c>
      <c r="BB100">
        <v>9.01</v>
      </c>
      <c r="BC100">
        <v>14.8</v>
      </c>
      <c r="BD100">
        <v>99.7</v>
      </c>
      <c r="BE100">
        <v>68.099999999999994</v>
      </c>
      <c r="BF100">
        <v>13.5</v>
      </c>
      <c r="BG100">
        <v>36.4</v>
      </c>
      <c r="BH100">
        <v>463346.7</v>
      </c>
      <c r="BI100">
        <v>10.08</v>
      </c>
      <c r="BJ100">
        <v>15.5</v>
      </c>
      <c r="BK100">
        <v>103.1</v>
      </c>
      <c r="BL100">
        <v>74.7</v>
      </c>
      <c r="BM100">
        <v>16.7</v>
      </c>
      <c r="BN100">
        <v>2.4</v>
      </c>
      <c r="BO100">
        <v>668786</v>
      </c>
      <c r="BP100">
        <v>10.75</v>
      </c>
      <c r="BQ100">
        <v>21.7</v>
      </c>
      <c r="BR100">
        <v>199.8</v>
      </c>
      <c r="BS100">
        <v>50.6</v>
      </c>
      <c r="BT100">
        <v>21.9</v>
      </c>
      <c r="BU100">
        <v>0.2</v>
      </c>
      <c r="BV100">
        <v>737937</v>
      </c>
      <c r="BW100">
        <v>11.11</v>
      </c>
      <c r="BX100">
        <v>29.9</v>
      </c>
      <c r="BY100">
        <v>243.7</v>
      </c>
      <c r="BZ100">
        <v>46.5</v>
      </c>
      <c r="CA100">
        <v>24</v>
      </c>
      <c r="CB100">
        <v>26.8</v>
      </c>
      <c r="CC100">
        <v>831965.6</v>
      </c>
      <c r="CD100">
        <v>14.05</v>
      </c>
      <c r="CE100">
        <v>31.3</v>
      </c>
      <c r="CF100">
        <v>282.8</v>
      </c>
      <c r="CG100">
        <v>47.5</v>
      </c>
      <c r="CH100">
        <v>25.5</v>
      </c>
      <c r="CI100">
        <v>44.4</v>
      </c>
      <c r="CJ100">
        <v>955119.5</v>
      </c>
      <c r="CK100">
        <v>16.93</v>
      </c>
      <c r="CL100">
        <v>33.5</v>
      </c>
      <c r="CM100">
        <v>355.1</v>
      </c>
      <c r="CN100">
        <v>39.6</v>
      </c>
      <c r="CP100" s="3">
        <v>204.8839893083333</v>
      </c>
      <c r="CQ100" s="3">
        <v>357.71587473362189</v>
      </c>
      <c r="CR100" s="3">
        <v>322.98543302087501</v>
      </c>
      <c r="CS100" s="3">
        <v>251.33925340010413</v>
      </c>
      <c r="CT100" s="3">
        <v>238.07175714163543</v>
      </c>
      <c r="CU100" s="7">
        <v>0.06</v>
      </c>
      <c r="CV100" s="7">
        <v>0.14000000000000001</v>
      </c>
      <c r="CW100" s="7">
        <v>7.0000000000000007E-2</v>
      </c>
      <c r="CX100" s="7">
        <v>0.04</v>
      </c>
      <c r="CY100" s="3">
        <f t="shared" si="2"/>
        <v>93.797531130612526</v>
      </c>
      <c r="CZ100">
        <v>2505</v>
      </c>
      <c r="DA100">
        <v>2062</v>
      </c>
      <c r="DB100">
        <v>1031750</v>
      </c>
      <c r="DC100">
        <v>2372</v>
      </c>
      <c r="DE100" t="s">
        <v>147</v>
      </c>
      <c r="DK100" s="5">
        <v>2505</v>
      </c>
      <c r="DM100" s="5">
        <v>2062</v>
      </c>
    </row>
    <row r="101" spans="1:117" x14ac:dyDescent="0.25">
      <c r="A101" t="s">
        <v>108</v>
      </c>
      <c r="B101" t="s">
        <v>126</v>
      </c>
      <c r="C101">
        <v>115.997377</v>
      </c>
      <c r="D101">
        <v>-29.220352999999999</v>
      </c>
      <c r="E101">
        <v>2016</v>
      </c>
      <c r="F101" t="s">
        <v>126</v>
      </c>
      <c r="G101" t="s">
        <v>141</v>
      </c>
      <c r="H101" t="s">
        <v>144</v>
      </c>
      <c r="I101">
        <v>26.4</v>
      </c>
      <c r="J101">
        <v>47.2</v>
      </c>
      <c r="K101">
        <v>785284.4</v>
      </c>
      <c r="L101">
        <v>14.29</v>
      </c>
      <c r="M101">
        <v>32.799999999999997</v>
      </c>
      <c r="N101">
        <v>287.60000000000002</v>
      </c>
      <c r="O101">
        <v>52.6</v>
      </c>
      <c r="P101">
        <v>27.5</v>
      </c>
      <c r="Q101">
        <v>4.4000000000000004</v>
      </c>
      <c r="R101">
        <v>869115.4</v>
      </c>
      <c r="S101">
        <v>14.81</v>
      </c>
      <c r="T101">
        <v>34.1</v>
      </c>
      <c r="U101">
        <v>323.8</v>
      </c>
      <c r="V101">
        <v>37</v>
      </c>
      <c r="W101">
        <v>25.8</v>
      </c>
      <c r="X101">
        <v>32.4</v>
      </c>
      <c r="Y101">
        <v>705655.3</v>
      </c>
      <c r="Z101">
        <v>14.63</v>
      </c>
      <c r="AA101">
        <v>31.7</v>
      </c>
      <c r="AB101">
        <v>258.2</v>
      </c>
      <c r="AC101">
        <v>51.6</v>
      </c>
      <c r="AD101">
        <v>20.9</v>
      </c>
      <c r="AE101">
        <v>62.8</v>
      </c>
      <c r="AF101">
        <v>484948.5</v>
      </c>
      <c r="AG101">
        <v>11.66</v>
      </c>
      <c r="AH101">
        <v>23.7</v>
      </c>
      <c r="AI101">
        <v>160.4</v>
      </c>
      <c r="AJ101">
        <v>63.3</v>
      </c>
      <c r="AK101">
        <v>15.1</v>
      </c>
      <c r="AL101">
        <v>38</v>
      </c>
      <c r="AM101">
        <v>446462.2</v>
      </c>
      <c r="AN101">
        <v>9.3000000000000007</v>
      </c>
      <c r="AO101">
        <v>17.399999999999999</v>
      </c>
      <c r="AP101">
        <v>113.8</v>
      </c>
      <c r="AQ101">
        <v>69.7</v>
      </c>
      <c r="AR101">
        <v>12.1</v>
      </c>
      <c r="AS101">
        <v>55.6</v>
      </c>
      <c r="AT101">
        <v>328476.09999999998</v>
      </c>
      <c r="AU101">
        <v>7.74</v>
      </c>
      <c r="AV101">
        <v>13.2</v>
      </c>
      <c r="AW101">
        <v>66.400000000000006</v>
      </c>
      <c r="AX101">
        <v>81.599999999999994</v>
      </c>
      <c r="AY101">
        <v>11.2</v>
      </c>
      <c r="AZ101">
        <v>54.6</v>
      </c>
      <c r="BA101">
        <v>389153.1</v>
      </c>
      <c r="BB101">
        <v>8.5299999999999994</v>
      </c>
      <c r="BC101">
        <v>12.4</v>
      </c>
      <c r="BD101">
        <v>75.5</v>
      </c>
      <c r="BE101">
        <v>81.400000000000006</v>
      </c>
      <c r="BF101">
        <v>11.4</v>
      </c>
      <c r="BG101">
        <v>36.799999999999997</v>
      </c>
      <c r="BH101">
        <v>486309.5</v>
      </c>
      <c r="BI101">
        <v>7.92</v>
      </c>
      <c r="BJ101">
        <v>12.9</v>
      </c>
      <c r="BK101">
        <v>103</v>
      </c>
      <c r="BL101">
        <v>78</v>
      </c>
      <c r="BM101">
        <v>12.6</v>
      </c>
      <c r="BN101">
        <v>14.4</v>
      </c>
      <c r="BO101">
        <v>661178.6</v>
      </c>
      <c r="BP101">
        <v>9.9600000000000009</v>
      </c>
      <c r="BQ101">
        <v>15.4</v>
      </c>
      <c r="BR101">
        <v>156.5</v>
      </c>
      <c r="BS101">
        <v>67.400000000000006</v>
      </c>
      <c r="BT101">
        <v>17.8</v>
      </c>
      <c r="BU101">
        <v>7.4</v>
      </c>
      <c r="BV101">
        <v>842433.4</v>
      </c>
      <c r="BW101">
        <v>12.55</v>
      </c>
      <c r="BX101">
        <v>22.1</v>
      </c>
      <c r="BY101">
        <v>252.5</v>
      </c>
      <c r="BZ101">
        <v>51.3</v>
      </c>
      <c r="CA101">
        <v>23.1</v>
      </c>
      <c r="CB101">
        <v>0.6</v>
      </c>
      <c r="CC101">
        <v>942183.7</v>
      </c>
      <c r="CD101">
        <v>14.05</v>
      </c>
      <c r="CE101">
        <v>30.4</v>
      </c>
      <c r="CF101">
        <v>326.5</v>
      </c>
      <c r="CG101">
        <v>39</v>
      </c>
      <c r="CH101">
        <v>24.7</v>
      </c>
      <c r="CI101">
        <v>1.8</v>
      </c>
      <c r="CJ101">
        <v>1022104.4</v>
      </c>
      <c r="CK101">
        <v>16.440000000000001</v>
      </c>
      <c r="CL101">
        <v>33</v>
      </c>
      <c r="CM101">
        <v>367.8</v>
      </c>
      <c r="CN101">
        <v>39.299999999999997</v>
      </c>
      <c r="CP101" s="3">
        <v>133.12695639999998</v>
      </c>
      <c r="CQ101" s="3">
        <v>265.94031967119787</v>
      </c>
      <c r="CR101" s="3">
        <v>244.36784107392498</v>
      </c>
      <c r="CS101" s="3">
        <v>168.48709864302083</v>
      </c>
      <c r="CT101" s="3">
        <v>219.627445633875</v>
      </c>
      <c r="CU101" s="7">
        <v>0.06</v>
      </c>
      <c r="CV101" s="7">
        <v>0.14000000000000001</v>
      </c>
      <c r="CW101" s="7">
        <v>7.0000000000000007E-2</v>
      </c>
      <c r="CX101" s="7">
        <v>0.04</v>
      </c>
      <c r="CY101" s="3">
        <f t="shared" si="2"/>
        <v>70.747111660987827</v>
      </c>
      <c r="CZ101">
        <v>2387</v>
      </c>
      <c r="DA101">
        <v>1552</v>
      </c>
      <c r="DB101">
        <v>722700</v>
      </c>
      <c r="DC101">
        <v>2010</v>
      </c>
      <c r="DE101" t="s">
        <v>147</v>
      </c>
      <c r="DK101" s="5">
        <v>2387</v>
      </c>
      <c r="DM101" s="5">
        <v>1552</v>
      </c>
    </row>
    <row r="102" spans="1:117" x14ac:dyDescent="0.25">
      <c r="A102" t="s">
        <v>108</v>
      </c>
      <c r="B102" t="s">
        <v>126</v>
      </c>
      <c r="C102">
        <v>115.997377</v>
      </c>
      <c r="D102">
        <v>-29.220352999999999</v>
      </c>
      <c r="E102">
        <v>2017</v>
      </c>
      <c r="F102" t="s">
        <v>126</v>
      </c>
      <c r="G102" t="s">
        <v>141</v>
      </c>
      <c r="H102" t="s">
        <v>144</v>
      </c>
      <c r="I102">
        <v>27.9</v>
      </c>
      <c r="J102">
        <v>18.2</v>
      </c>
      <c r="K102">
        <v>947182.7</v>
      </c>
      <c r="L102">
        <v>15.52</v>
      </c>
      <c r="M102">
        <v>34.700000000000003</v>
      </c>
      <c r="N102">
        <v>365.6</v>
      </c>
      <c r="O102">
        <v>37.299999999999997</v>
      </c>
      <c r="P102">
        <v>27.1</v>
      </c>
      <c r="Q102">
        <v>47</v>
      </c>
      <c r="R102">
        <v>680940.2</v>
      </c>
      <c r="S102">
        <v>14.5</v>
      </c>
      <c r="T102">
        <v>31.4</v>
      </c>
      <c r="U102">
        <v>235.5</v>
      </c>
      <c r="V102">
        <v>54.5</v>
      </c>
      <c r="W102">
        <v>24.6</v>
      </c>
      <c r="X102">
        <v>1.8</v>
      </c>
      <c r="Y102">
        <v>724480.7</v>
      </c>
      <c r="Z102">
        <v>13.12</v>
      </c>
      <c r="AA102">
        <v>31.1</v>
      </c>
      <c r="AB102">
        <v>264.60000000000002</v>
      </c>
      <c r="AC102">
        <v>46.7</v>
      </c>
      <c r="AD102">
        <v>21.4</v>
      </c>
      <c r="AE102">
        <v>23.8</v>
      </c>
      <c r="AF102">
        <v>586963.80000000005</v>
      </c>
      <c r="AG102">
        <v>10.34</v>
      </c>
      <c r="AH102">
        <v>25.9</v>
      </c>
      <c r="AI102">
        <v>208.2</v>
      </c>
      <c r="AJ102">
        <v>43.7</v>
      </c>
      <c r="AK102">
        <v>16.899999999999999</v>
      </c>
      <c r="AL102">
        <v>11</v>
      </c>
      <c r="AM102">
        <v>459897.7</v>
      </c>
      <c r="AN102">
        <v>8.52</v>
      </c>
      <c r="AO102">
        <v>18.899999999999999</v>
      </c>
      <c r="AP102">
        <v>141.6</v>
      </c>
      <c r="AQ102">
        <v>57.4</v>
      </c>
      <c r="AR102">
        <v>14.9</v>
      </c>
      <c r="AS102">
        <v>1.4</v>
      </c>
      <c r="AT102">
        <v>406131.6</v>
      </c>
      <c r="AU102">
        <v>10.36</v>
      </c>
      <c r="AV102">
        <v>16.600000000000001</v>
      </c>
      <c r="AW102">
        <v>136.30000000000001</v>
      </c>
      <c r="AX102">
        <v>51</v>
      </c>
      <c r="AY102">
        <v>12.5</v>
      </c>
      <c r="AZ102">
        <v>19.2</v>
      </c>
      <c r="BA102">
        <v>377906.4</v>
      </c>
      <c r="BB102">
        <v>9.7200000000000006</v>
      </c>
      <c r="BC102">
        <v>14.2</v>
      </c>
      <c r="BD102">
        <v>89.5</v>
      </c>
      <c r="BE102">
        <v>75.7</v>
      </c>
      <c r="BF102">
        <v>13.3</v>
      </c>
      <c r="BG102">
        <v>70.8</v>
      </c>
      <c r="BH102">
        <v>502497.8</v>
      </c>
      <c r="BI102">
        <v>10.35</v>
      </c>
      <c r="BJ102">
        <v>15.1</v>
      </c>
      <c r="BK102">
        <v>117.4</v>
      </c>
      <c r="BL102">
        <v>72.900000000000006</v>
      </c>
      <c r="BM102">
        <v>15.7</v>
      </c>
      <c r="BN102">
        <v>25.8</v>
      </c>
      <c r="BO102">
        <v>586388.5</v>
      </c>
      <c r="BP102">
        <v>11.56</v>
      </c>
      <c r="BQ102">
        <v>18.899999999999999</v>
      </c>
      <c r="BR102">
        <v>155.30000000000001</v>
      </c>
      <c r="BS102">
        <v>64.7</v>
      </c>
      <c r="BT102">
        <v>18.899999999999999</v>
      </c>
      <c r="BU102">
        <v>3</v>
      </c>
      <c r="BV102">
        <v>814627.4</v>
      </c>
      <c r="BW102">
        <v>13.77</v>
      </c>
      <c r="BX102">
        <v>25.6</v>
      </c>
      <c r="BY102">
        <v>252.5</v>
      </c>
      <c r="BZ102">
        <v>51.3</v>
      </c>
      <c r="CA102">
        <v>24.5</v>
      </c>
      <c r="CB102">
        <v>4.2</v>
      </c>
      <c r="CC102">
        <v>900935.7</v>
      </c>
      <c r="CD102">
        <v>15.48</v>
      </c>
      <c r="CE102">
        <v>32.5</v>
      </c>
      <c r="CF102">
        <v>323.5</v>
      </c>
      <c r="CG102">
        <v>41.9</v>
      </c>
      <c r="CH102">
        <v>25.9</v>
      </c>
      <c r="CI102">
        <v>10.199999999999999</v>
      </c>
      <c r="CJ102">
        <v>942493.1</v>
      </c>
      <c r="CK102">
        <v>16.11</v>
      </c>
      <c r="CL102">
        <v>32.6</v>
      </c>
      <c r="CM102">
        <v>351.9</v>
      </c>
      <c r="CN102">
        <v>40</v>
      </c>
      <c r="CP102" s="3">
        <v>119.07146077499999</v>
      </c>
      <c r="CQ102" s="3">
        <v>235.14453102913441</v>
      </c>
      <c r="CR102" s="3">
        <v>211.74875985799997</v>
      </c>
      <c r="CS102" s="3">
        <v>150.26687985202918</v>
      </c>
      <c r="CT102" s="3">
        <v>166.58352970400003</v>
      </c>
      <c r="CU102" s="7">
        <v>0.06</v>
      </c>
      <c r="CV102" s="7">
        <v>0.14000000000000001</v>
      </c>
      <c r="CW102" s="7">
        <v>7.0000000000000007E-2</v>
      </c>
      <c r="CX102" s="7">
        <v>0.04</v>
      </c>
      <c r="CY102" s="3">
        <f t="shared" si="2"/>
        <v>60.935521019670105</v>
      </c>
      <c r="CZ102">
        <v>2361</v>
      </c>
      <c r="DA102">
        <v>1647</v>
      </c>
      <c r="DB102">
        <v>796380</v>
      </c>
      <c r="DC102">
        <v>2368</v>
      </c>
      <c r="DE102" t="s">
        <v>147</v>
      </c>
      <c r="DK102" s="5">
        <v>2361</v>
      </c>
      <c r="DM102" s="5">
        <v>1647</v>
      </c>
    </row>
    <row r="103" spans="1:117" x14ac:dyDescent="0.25">
      <c r="A103" t="s">
        <v>108</v>
      </c>
      <c r="B103" t="s">
        <v>126</v>
      </c>
      <c r="C103">
        <v>115.997377</v>
      </c>
      <c r="D103">
        <v>-29.220352999999999</v>
      </c>
      <c r="E103">
        <v>2018</v>
      </c>
      <c r="F103" t="s">
        <v>126</v>
      </c>
      <c r="G103" t="s">
        <v>141</v>
      </c>
      <c r="H103" t="s">
        <v>144</v>
      </c>
      <c r="I103">
        <v>27.8</v>
      </c>
      <c r="J103">
        <v>52.2</v>
      </c>
      <c r="K103">
        <v>931418.4</v>
      </c>
      <c r="L103">
        <v>18.239999999999998</v>
      </c>
      <c r="M103">
        <v>33.299999999999997</v>
      </c>
      <c r="N103">
        <v>357.9</v>
      </c>
      <c r="O103">
        <v>43.6</v>
      </c>
      <c r="P103">
        <v>26.6</v>
      </c>
      <c r="Q103">
        <v>10.199999999999999</v>
      </c>
      <c r="R103">
        <v>787143.8</v>
      </c>
      <c r="S103">
        <v>15.08</v>
      </c>
      <c r="T103">
        <v>33.9</v>
      </c>
      <c r="U103">
        <v>285.5</v>
      </c>
      <c r="V103">
        <v>46.8</v>
      </c>
      <c r="W103">
        <v>26.9</v>
      </c>
      <c r="X103">
        <v>1.6</v>
      </c>
      <c r="Y103">
        <v>738401.6</v>
      </c>
      <c r="Z103">
        <v>15.45</v>
      </c>
      <c r="AA103">
        <v>32.299999999999997</v>
      </c>
      <c r="AB103">
        <v>294.60000000000002</v>
      </c>
      <c r="AC103">
        <v>43.1</v>
      </c>
      <c r="AD103">
        <v>21.2</v>
      </c>
      <c r="AE103">
        <v>0</v>
      </c>
      <c r="AF103">
        <v>595469</v>
      </c>
      <c r="AG103">
        <v>11.04</v>
      </c>
      <c r="AH103">
        <v>26.6</v>
      </c>
      <c r="AI103">
        <v>200.1</v>
      </c>
      <c r="AJ103">
        <v>51.7</v>
      </c>
      <c r="AK103">
        <v>17.600000000000001</v>
      </c>
      <c r="AL103">
        <v>24.2</v>
      </c>
      <c r="AM103">
        <v>464833.1</v>
      </c>
      <c r="AN103">
        <v>11.65</v>
      </c>
      <c r="AO103">
        <v>20</v>
      </c>
      <c r="AP103">
        <v>174.1</v>
      </c>
      <c r="AQ103">
        <v>44.9</v>
      </c>
      <c r="AR103">
        <v>13.5</v>
      </c>
      <c r="AS103">
        <v>48</v>
      </c>
      <c r="AT103">
        <v>363768.8</v>
      </c>
      <c r="AU103">
        <v>7.49</v>
      </c>
      <c r="AV103">
        <v>14.2</v>
      </c>
      <c r="AW103">
        <v>84</v>
      </c>
      <c r="AX103">
        <v>71.599999999999994</v>
      </c>
      <c r="AY103">
        <v>12.9</v>
      </c>
      <c r="AZ103">
        <v>89</v>
      </c>
      <c r="BA103">
        <v>394351.2</v>
      </c>
      <c r="BB103">
        <v>9.17</v>
      </c>
      <c r="BC103">
        <v>14</v>
      </c>
      <c r="BD103">
        <v>83.8</v>
      </c>
      <c r="BE103">
        <v>79.599999999999994</v>
      </c>
      <c r="BF103">
        <v>11.7</v>
      </c>
      <c r="BG103">
        <v>62.6</v>
      </c>
      <c r="BH103">
        <v>485706.9</v>
      </c>
      <c r="BI103">
        <v>9.5500000000000007</v>
      </c>
      <c r="BJ103">
        <v>13.8</v>
      </c>
      <c r="BK103">
        <v>101.9</v>
      </c>
      <c r="BL103">
        <v>80.7</v>
      </c>
      <c r="BM103">
        <v>14.8</v>
      </c>
      <c r="BN103">
        <v>5.8</v>
      </c>
      <c r="BO103">
        <v>679776.7</v>
      </c>
      <c r="BP103">
        <v>9.84</v>
      </c>
      <c r="BQ103">
        <v>18.899999999999999</v>
      </c>
      <c r="BR103">
        <v>178.3</v>
      </c>
      <c r="BS103">
        <v>65.400000000000006</v>
      </c>
      <c r="BT103">
        <v>19.2</v>
      </c>
      <c r="BU103">
        <v>16.600000000000001</v>
      </c>
      <c r="BV103">
        <v>791231</v>
      </c>
      <c r="BW103">
        <v>12.29</v>
      </c>
      <c r="BX103">
        <v>26.3</v>
      </c>
      <c r="BY103">
        <v>234.4</v>
      </c>
      <c r="BZ103">
        <v>60.1</v>
      </c>
      <c r="CA103">
        <v>21.2</v>
      </c>
      <c r="CB103">
        <v>14.4</v>
      </c>
      <c r="CC103">
        <v>884320.3</v>
      </c>
      <c r="CD103">
        <v>14.78</v>
      </c>
      <c r="CE103">
        <v>30</v>
      </c>
      <c r="CF103">
        <v>289.10000000000002</v>
      </c>
      <c r="CG103">
        <v>46.8</v>
      </c>
      <c r="CH103">
        <v>25.4</v>
      </c>
      <c r="CI103">
        <v>3</v>
      </c>
      <c r="CJ103">
        <v>952922.4</v>
      </c>
      <c r="CK103">
        <v>15.38</v>
      </c>
      <c r="CL103">
        <v>34.299999999999997</v>
      </c>
      <c r="CM103">
        <v>346</v>
      </c>
      <c r="CN103">
        <v>40.5</v>
      </c>
      <c r="CP103" s="3">
        <v>149.45420497500001</v>
      </c>
      <c r="CQ103" s="3">
        <v>274.57347051901041</v>
      </c>
      <c r="CR103" s="3">
        <v>237.4236465424917</v>
      </c>
      <c r="CS103" s="3">
        <v>174.41377918435418</v>
      </c>
      <c r="CT103" s="3">
        <v>166.56083829114584</v>
      </c>
      <c r="CU103" s="7">
        <v>0.06</v>
      </c>
      <c r="CV103" s="7">
        <v>0.14000000000000001</v>
      </c>
      <c r="CW103" s="7">
        <v>7.0000000000000007E-2</v>
      </c>
      <c r="CX103" s="7">
        <v>0.04</v>
      </c>
      <c r="CY103" s="3">
        <f t="shared" si="2"/>
        <v>68.585116821640085</v>
      </c>
      <c r="CZ103">
        <v>1848</v>
      </c>
      <c r="DA103">
        <v>1507</v>
      </c>
      <c r="DB103">
        <v>721140</v>
      </c>
      <c r="DC103">
        <v>1837</v>
      </c>
      <c r="DE103" t="s">
        <v>147</v>
      </c>
      <c r="DK103" s="5">
        <v>1848</v>
      </c>
      <c r="DM103" s="5">
        <v>1507</v>
      </c>
    </row>
    <row r="104" spans="1:117" x14ac:dyDescent="0.25">
      <c r="A104" t="s">
        <v>108</v>
      </c>
      <c r="B104" t="s">
        <v>126</v>
      </c>
      <c r="C104">
        <v>115.997377</v>
      </c>
      <c r="D104">
        <v>-29.220352999999999</v>
      </c>
      <c r="E104">
        <v>2019</v>
      </c>
      <c r="F104" t="s">
        <v>126</v>
      </c>
      <c r="G104" t="s">
        <v>141</v>
      </c>
      <c r="H104" t="s">
        <v>144</v>
      </c>
      <c r="I104">
        <v>27</v>
      </c>
      <c r="J104">
        <v>0</v>
      </c>
      <c r="K104">
        <v>999047.8</v>
      </c>
      <c r="L104">
        <v>15.84</v>
      </c>
      <c r="M104">
        <v>35.799999999999997</v>
      </c>
      <c r="N104">
        <v>378</v>
      </c>
      <c r="O104">
        <v>36.700000000000003</v>
      </c>
      <c r="P104">
        <v>27.6</v>
      </c>
      <c r="Q104">
        <v>1</v>
      </c>
      <c r="R104">
        <v>838476.6</v>
      </c>
      <c r="S104">
        <v>15.02</v>
      </c>
      <c r="T104">
        <v>36.5</v>
      </c>
      <c r="U104">
        <v>327.7</v>
      </c>
      <c r="V104">
        <v>38.1</v>
      </c>
      <c r="W104">
        <v>26.5</v>
      </c>
      <c r="X104">
        <v>1.2</v>
      </c>
      <c r="Y104">
        <v>667701.80000000005</v>
      </c>
      <c r="Z104">
        <v>13.4</v>
      </c>
      <c r="AA104">
        <v>32.6</v>
      </c>
      <c r="AB104">
        <v>269.89999999999998</v>
      </c>
      <c r="AC104">
        <v>41</v>
      </c>
      <c r="AD104">
        <v>20.7</v>
      </c>
      <c r="AE104">
        <v>28.8</v>
      </c>
      <c r="AF104">
        <v>570257.19999999995</v>
      </c>
      <c r="AG104">
        <v>12.2</v>
      </c>
      <c r="AH104">
        <v>24.2</v>
      </c>
      <c r="AI104">
        <v>199.7</v>
      </c>
      <c r="AJ104">
        <v>48.7</v>
      </c>
      <c r="AK104">
        <v>16.3</v>
      </c>
      <c r="AL104">
        <v>0.8</v>
      </c>
      <c r="AM104">
        <v>483726.7</v>
      </c>
      <c r="AN104">
        <v>10.66</v>
      </c>
      <c r="AO104">
        <v>19.100000000000001</v>
      </c>
      <c r="AP104">
        <v>162.69999999999999</v>
      </c>
      <c r="AQ104">
        <v>49.2</v>
      </c>
      <c r="AR104">
        <v>13.7</v>
      </c>
      <c r="AS104">
        <v>101.4</v>
      </c>
      <c r="AT104">
        <v>358861.3</v>
      </c>
      <c r="AU104">
        <v>11.16</v>
      </c>
      <c r="AV104">
        <v>14.8</v>
      </c>
      <c r="AW104">
        <v>103.1</v>
      </c>
      <c r="AX104">
        <v>66.400000000000006</v>
      </c>
      <c r="AY104">
        <v>12.6</v>
      </c>
      <c r="AZ104">
        <v>33</v>
      </c>
      <c r="BA104">
        <v>455072.7</v>
      </c>
      <c r="BB104">
        <v>8.09</v>
      </c>
      <c r="BC104">
        <v>13.7</v>
      </c>
      <c r="BD104">
        <v>102</v>
      </c>
      <c r="BE104">
        <v>72.8</v>
      </c>
      <c r="BF104">
        <v>13.7</v>
      </c>
      <c r="BG104">
        <v>14</v>
      </c>
      <c r="BH104">
        <v>547893.5</v>
      </c>
      <c r="BI104">
        <v>10.84</v>
      </c>
      <c r="BJ104">
        <v>16</v>
      </c>
      <c r="BK104">
        <v>152.5</v>
      </c>
      <c r="BL104">
        <v>62.1</v>
      </c>
      <c r="BM104">
        <v>17.399999999999999</v>
      </c>
      <c r="BN104">
        <v>5</v>
      </c>
      <c r="BO104">
        <v>699812.6</v>
      </c>
      <c r="BP104">
        <v>10.46</v>
      </c>
      <c r="BQ104">
        <v>21.6</v>
      </c>
      <c r="BR104">
        <v>205.2</v>
      </c>
      <c r="BS104">
        <v>53.8</v>
      </c>
      <c r="BT104">
        <v>19.899999999999999</v>
      </c>
      <c r="BU104">
        <v>5.2</v>
      </c>
      <c r="BV104">
        <v>845641.8</v>
      </c>
      <c r="BW104">
        <v>13.11</v>
      </c>
      <c r="BX104">
        <v>26.1</v>
      </c>
      <c r="BY104">
        <v>268.8</v>
      </c>
      <c r="BZ104">
        <v>50.5</v>
      </c>
      <c r="CA104">
        <v>25.1</v>
      </c>
      <c r="CB104">
        <v>1</v>
      </c>
      <c r="CC104">
        <v>927216.2</v>
      </c>
      <c r="CD104">
        <v>15.76</v>
      </c>
      <c r="CE104">
        <v>30.8</v>
      </c>
      <c r="CF104">
        <v>350.1</v>
      </c>
      <c r="CG104">
        <v>33.4</v>
      </c>
      <c r="CH104">
        <v>28.3</v>
      </c>
      <c r="CI104">
        <v>0</v>
      </c>
      <c r="CJ104">
        <v>996995.1</v>
      </c>
      <c r="CK104">
        <v>14.28</v>
      </c>
      <c r="CL104">
        <v>34.4</v>
      </c>
      <c r="CM104">
        <v>384</v>
      </c>
      <c r="CN104">
        <v>32.799999999999997</v>
      </c>
      <c r="CP104" s="3">
        <v>151.20769046666666</v>
      </c>
      <c r="CQ104" s="3">
        <v>267.33967790703502</v>
      </c>
      <c r="CR104" s="3">
        <v>246.94953969827165</v>
      </c>
      <c r="CS104" s="3">
        <v>186.82042264949916</v>
      </c>
      <c r="CT104" s="3">
        <v>164.67061180174997</v>
      </c>
      <c r="CU104" s="7">
        <v>0.06</v>
      </c>
      <c r="CV104" s="7">
        <v>0.14000000000000001</v>
      </c>
      <c r="CW104" s="7">
        <v>7.0000000000000007E-2</v>
      </c>
      <c r="CX104" s="7">
        <v>0.04</v>
      </c>
      <c r="CY104" s="3">
        <f t="shared" si="2"/>
        <v>70.277570289715072</v>
      </c>
      <c r="CZ104">
        <v>3132</v>
      </c>
      <c r="DA104">
        <v>1716</v>
      </c>
      <c r="DB104">
        <v>1037670</v>
      </c>
      <c r="DC104">
        <v>2915</v>
      </c>
      <c r="DE104" t="s">
        <v>147</v>
      </c>
      <c r="DK104" s="5">
        <v>3132</v>
      </c>
      <c r="DM104" s="5">
        <v>1716</v>
      </c>
    </row>
    <row r="105" spans="1:117" x14ac:dyDescent="0.25">
      <c r="A105" t="s">
        <v>108</v>
      </c>
      <c r="B105" t="s">
        <v>126</v>
      </c>
      <c r="C105">
        <v>115.997377</v>
      </c>
      <c r="D105">
        <v>-29.220352999999999</v>
      </c>
      <c r="E105">
        <v>2020</v>
      </c>
      <c r="F105" t="s">
        <v>126</v>
      </c>
      <c r="G105" t="s">
        <v>141</v>
      </c>
      <c r="H105" t="s">
        <v>144</v>
      </c>
      <c r="I105">
        <v>27.6</v>
      </c>
      <c r="J105">
        <v>0</v>
      </c>
      <c r="K105">
        <v>1005360.2</v>
      </c>
      <c r="L105">
        <v>17.09</v>
      </c>
      <c r="M105">
        <v>34.700000000000003</v>
      </c>
      <c r="N105">
        <v>388.4</v>
      </c>
      <c r="O105">
        <v>36.9</v>
      </c>
      <c r="P105">
        <v>27.6</v>
      </c>
      <c r="Q105">
        <v>99.6</v>
      </c>
      <c r="R105">
        <v>741427.9</v>
      </c>
      <c r="S105">
        <v>15.43</v>
      </c>
      <c r="T105">
        <v>32.1</v>
      </c>
      <c r="U105">
        <v>284</v>
      </c>
      <c r="V105">
        <v>50.5</v>
      </c>
      <c r="W105">
        <v>24.6</v>
      </c>
      <c r="X105">
        <v>11.4</v>
      </c>
      <c r="Y105">
        <v>692869</v>
      </c>
      <c r="Z105">
        <v>13.53</v>
      </c>
      <c r="AA105">
        <v>28.6</v>
      </c>
      <c r="AB105">
        <v>248.5</v>
      </c>
      <c r="AC105">
        <v>50.2</v>
      </c>
      <c r="AD105">
        <v>21.8</v>
      </c>
      <c r="AE105">
        <v>2.6</v>
      </c>
      <c r="AF105">
        <v>545761.9</v>
      </c>
      <c r="AG105">
        <v>10.87</v>
      </c>
      <c r="AH105">
        <v>26.2</v>
      </c>
      <c r="AI105">
        <v>191.5</v>
      </c>
      <c r="AJ105">
        <v>49.1</v>
      </c>
      <c r="AK105">
        <v>16.5</v>
      </c>
      <c r="AL105">
        <v>33.799999999999997</v>
      </c>
      <c r="AM105">
        <v>436583.3</v>
      </c>
      <c r="AN105">
        <v>11.21</v>
      </c>
      <c r="AO105">
        <v>19</v>
      </c>
      <c r="AP105">
        <v>152.30000000000001</v>
      </c>
      <c r="AQ105">
        <v>53.1</v>
      </c>
      <c r="AR105">
        <v>15.5</v>
      </c>
      <c r="AS105">
        <v>19.600000000000001</v>
      </c>
      <c r="AT105">
        <v>383226.8</v>
      </c>
      <c r="AU105">
        <v>9.8000000000000007</v>
      </c>
      <c r="AV105">
        <v>15.5</v>
      </c>
      <c r="AW105">
        <v>113.6</v>
      </c>
      <c r="AX105">
        <v>60.5</v>
      </c>
      <c r="AY105">
        <v>13.7</v>
      </c>
      <c r="AZ105">
        <v>23.6</v>
      </c>
      <c r="BA105">
        <v>438425</v>
      </c>
      <c r="BB105">
        <v>10.09</v>
      </c>
      <c r="BC105">
        <v>14.8</v>
      </c>
      <c r="BD105">
        <v>117.8</v>
      </c>
      <c r="BE105">
        <v>64.900000000000006</v>
      </c>
      <c r="BF105">
        <v>13.3</v>
      </c>
      <c r="BG105">
        <v>59.6</v>
      </c>
      <c r="BH105">
        <v>485438.8</v>
      </c>
      <c r="BI105">
        <v>11.39</v>
      </c>
      <c r="BJ105">
        <v>15.2</v>
      </c>
      <c r="BK105">
        <v>117.7</v>
      </c>
      <c r="BL105">
        <v>72.3</v>
      </c>
      <c r="BM105">
        <v>16.2</v>
      </c>
      <c r="BN105">
        <v>5.6</v>
      </c>
      <c r="BO105">
        <v>645570.30000000005</v>
      </c>
      <c r="BP105">
        <v>11.5</v>
      </c>
      <c r="BQ105">
        <v>21.1</v>
      </c>
      <c r="BR105">
        <v>183</v>
      </c>
      <c r="BS105">
        <v>60.3</v>
      </c>
      <c r="BT105">
        <v>20.2</v>
      </c>
      <c r="BU105">
        <v>0.2</v>
      </c>
      <c r="BV105">
        <v>841121.6</v>
      </c>
      <c r="BW105">
        <v>13.81</v>
      </c>
      <c r="BX105">
        <v>28.1</v>
      </c>
      <c r="BY105">
        <v>276.3</v>
      </c>
      <c r="BZ105">
        <v>47.3</v>
      </c>
      <c r="CA105">
        <v>21</v>
      </c>
      <c r="CB105">
        <v>12.6</v>
      </c>
      <c r="CC105">
        <v>881579.7</v>
      </c>
      <c r="CD105">
        <v>15.38</v>
      </c>
      <c r="CE105">
        <v>30.2</v>
      </c>
      <c r="CF105">
        <v>283.60000000000002</v>
      </c>
      <c r="CG105">
        <v>51.5</v>
      </c>
      <c r="CH105">
        <v>27</v>
      </c>
      <c r="CI105">
        <v>0.4</v>
      </c>
      <c r="CJ105">
        <v>1022966.4</v>
      </c>
      <c r="CK105">
        <v>16.05</v>
      </c>
      <c r="CL105">
        <v>35.299999999999997</v>
      </c>
      <c r="CM105">
        <v>392.2</v>
      </c>
      <c r="CN105">
        <v>32.799999999999997</v>
      </c>
      <c r="CP105" s="3">
        <v>137.12151142499999</v>
      </c>
      <c r="CQ105" s="3">
        <v>183.94377395835087</v>
      </c>
      <c r="CR105" s="3">
        <v>171.50265380089249</v>
      </c>
      <c r="CS105" s="3">
        <v>153.47587761539251</v>
      </c>
      <c r="CT105" s="3">
        <v>168.62831412656331</v>
      </c>
      <c r="CU105" s="7">
        <v>0.06</v>
      </c>
      <c r="CV105" s="7">
        <v>0.14000000000000001</v>
      </c>
      <c r="CW105" s="7">
        <v>7.0000000000000007E-2</v>
      </c>
      <c r="CX105" s="7">
        <v>0.04</v>
      </c>
      <c r="CY105" s="3">
        <f t="shared" ref="CY105:CY154" si="6">+CQ105*CU105+CR105*CV105+CS105*CW105+CT105*CX105</f>
        <v>52.535441967766019</v>
      </c>
      <c r="CZ105">
        <v>1591</v>
      </c>
      <c r="DA105">
        <v>1677</v>
      </c>
      <c r="DB105">
        <v>864980</v>
      </c>
      <c r="DC105">
        <v>1861</v>
      </c>
      <c r="DE105" t="s">
        <v>147</v>
      </c>
      <c r="DK105" s="5">
        <v>1591</v>
      </c>
      <c r="DM105" s="5">
        <v>1677</v>
      </c>
    </row>
    <row r="106" spans="1:117" x14ac:dyDescent="0.25">
      <c r="A106" t="s">
        <v>109</v>
      </c>
      <c r="B106" t="s">
        <v>127</v>
      </c>
      <c r="C106">
        <v>118.25060000000001</v>
      </c>
      <c r="D106">
        <v>-30.918700000000001</v>
      </c>
      <c r="E106">
        <v>2013</v>
      </c>
      <c r="F106" t="s">
        <v>127</v>
      </c>
      <c r="G106" t="s">
        <v>141</v>
      </c>
      <c r="H106" t="s">
        <v>144</v>
      </c>
      <c r="I106">
        <v>26.9</v>
      </c>
      <c r="J106">
        <v>33</v>
      </c>
      <c r="K106">
        <f>+AVERAGE(K107:K109)</f>
        <v>882171.3666666667</v>
      </c>
      <c r="L106">
        <v>11.7</v>
      </c>
      <c r="N106">
        <f>+AVERAGE(N107:N109)</f>
        <v>324.09999999999997</v>
      </c>
      <c r="O106">
        <v>40.6</v>
      </c>
      <c r="P106">
        <v>27.7</v>
      </c>
      <c r="Q106">
        <v>25</v>
      </c>
      <c r="R106">
        <f>+AVERAGE(R107:R109)</f>
        <v>1098093.9333333333</v>
      </c>
      <c r="S106">
        <v>10.44</v>
      </c>
      <c r="U106">
        <f>+AVERAGE(U107:U109)</f>
        <v>351.5333333333333</v>
      </c>
      <c r="V106">
        <v>31.5</v>
      </c>
      <c r="W106">
        <v>22.2</v>
      </c>
      <c r="X106">
        <v>38</v>
      </c>
      <c r="Y106">
        <f>+AVERAGE(Y107:Y109)</f>
        <v>668525.16666666663</v>
      </c>
      <c r="Z106">
        <v>8.83</v>
      </c>
      <c r="AB106">
        <f>+AVERAGE(AB107:AB109)</f>
        <v>228.76666666666665</v>
      </c>
      <c r="AC106">
        <v>52</v>
      </c>
      <c r="AD106">
        <v>22.3</v>
      </c>
      <c r="AE106">
        <v>7.8</v>
      </c>
      <c r="AF106">
        <f>+AVERAGE(AF107:AF109)</f>
        <v>482882.1333333333</v>
      </c>
      <c r="AG106">
        <v>6.27</v>
      </c>
      <c r="AI106">
        <f>+AVERAGE(AI107:AI109)</f>
        <v>144.1</v>
      </c>
      <c r="AJ106">
        <v>49.1</v>
      </c>
      <c r="AK106">
        <v>14.7</v>
      </c>
      <c r="AL106">
        <v>17</v>
      </c>
      <c r="AM106">
        <f>+AVERAGE(AM107:AM109)</f>
        <v>404254.93333333335</v>
      </c>
      <c r="AN106">
        <v>6.55</v>
      </c>
      <c r="AP106">
        <f>+AVERAGE(AP107:AP109)</f>
        <v>97.90000000000002</v>
      </c>
      <c r="AQ106">
        <v>65</v>
      </c>
      <c r="AR106">
        <v>10.7</v>
      </c>
      <c r="AS106">
        <v>12.6</v>
      </c>
      <c r="AT106">
        <f>+AVERAGE(AT107:AT109)</f>
        <v>324653.06666666671</v>
      </c>
      <c r="AU106">
        <v>5.29</v>
      </c>
      <c r="AW106">
        <f>+AVERAGE(AW107:AW109)</f>
        <v>75.3</v>
      </c>
      <c r="AX106">
        <v>69.900000000000006</v>
      </c>
      <c r="AY106">
        <v>10.199999999999999</v>
      </c>
      <c r="AZ106">
        <v>33.6</v>
      </c>
      <c r="BA106">
        <f>+AVERAGE(BA107:BA109)</f>
        <v>343413.26666666666</v>
      </c>
      <c r="BB106">
        <v>6.8</v>
      </c>
      <c r="BD106">
        <f>+AVERAGE(BD107:BD109)</f>
        <v>74.900000000000006</v>
      </c>
      <c r="BE106">
        <v>68.8</v>
      </c>
      <c r="BF106">
        <v>13</v>
      </c>
      <c r="BG106">
        <v>45.8</v>
      </c>
      <c r="BH106">
        <f>+AVERAGE(BH107:BH109)</f>
        <v>451001.46666666662</v>
      </c>
      <c r="BI106">
        <v>6.85</v>
      </c>
      <c r="BK106">
        <f>+AVERAGE(BK107:BK109)</f>
        <v>105.63333333333333</v>
      </c>
      <c r="BL106">
        <v>71.900000000000006</v>
      </c>
      <c r="BM106">
        <v>14.4</v>
      </c>
      <c r="BN106">
        <v>37.200000000000003</v>
      </c>
      <c r="BO106">
        <f>+AVERAGE(BO107:BO109)</f>
        <v>614895.7333333334</v>
      </c>
      <c r="BP106">
        <v>9.19</v>
      </c>
      <c r="BR106">
        <f>+AVERAGE(BR107:BR109)</f>
        <v>157.86666666666667</v>
      </c>
      <c r="BS106">
        <v>68.900000000000006</v>
      </c>
      <c r="BT106">
        <v>18.600000000000001</v>
      </c>
      <c r="BU106">
        <v>18.8</v>
      </c>
      <c r="BV106">
        <v>27181.200000000001</v>
      </c>
      <c r="BW106">
        <v>8.3000000000000007</v>
      </c>
      <c r="BY106">
        <v>7.8</v>
      </c>
      <c r="BZ106">
        <v>48.5</v>
      </c>
      <c r="CA106">
        <v>24.2</v>
      </c>
      <c r="CB106">
        <v>4.5999999999999996</v>
      </c>
      <c r="CC106">
        <v>845215.9</v>
      </c>
      <c r="CD106">
        <v>12.23</v>
      </c>
      <c r="CF106">
        <v>294.5</v>
      </c>
      <c r="CG106">
        <v>37.6</v>
      </c>
      <c r="CH106">
        <v>26</v>
      </c>
      <c r="CI106">
        <v>1.4</v>
      </c>
      <c r="CJ106">
        <v>981349</v>
      </c>
      <c r="CK106">
        <v>10.94</v>
      </c>
      <c r="CM106">
        <v>344.9</v>
      </c>
      <c r="CN106">
        <v>31</v>
      </c>
      <c r="CP106" s="3">
        <v>344.25478384166667</v>
      </c>
      <c r="CQ106" s="3">
        <v>485.1324771412531</v>
      </c>
      <c r="CR106" s="3">
        <v>453.99912920229173</v>
      </c>
      <c r="CS106" s="3">
        <v>379.15555696741984</v>
      </c>
      <c r="CT106" s="3">
        <v>431.36433691804177</v>
      </c>
      <c r="CU106" s="7">
        <v>0.06</v>
      </c>
      <c r="CV106" s="7">
        <v>0.14000000000000001</v>
      </c>
      <c r="CW106" s="7">
        <v>7.0000000000000007E-2</v>
      </c>
      <c r="CX106" s="7">
        <v>0.04</v>
      </c>
      <c r="CY106" s="3">
        <f t="shared" si="6"/>
        <v>136.46328918123712</v>
      </c>
      <c r="CZ106">
        <v>1198</v>
      </c>
      <c r="DA106">
        <v>1617</v>
      </c>
      <c r="DB106">
        <v>619230</v>
      </c>
      <c r="DC106">
        <v>1156</v>
      </c>
      <c r="DE106" t="s">
        <v>147</v>
      </c>
      <c r="DK106" s="5">
        <v>1836.8506506264453</v>
      </c>
      <c r="DM106" s="5">
        <v>2600.8691040440335</v>
      </c>
    </row>
    <row r="107" spans="1:117" x14ac:dyDescent="0.25">
      <c r="A107" t="s">
        <v>109</v>
      </c>
      <c r="B107" t="s">
        <v>127</v>
      </c>
      <c r="C107">
        <v>118.25060000000001</v>
      </c>
      <c r="D107">
        <v>-30.918700000000001</v>
      </c>
      <c r="E107">
        <v>2014</v>
      </c>
      <c r="F107" t="s">
        <v>127</v>
      </c>
      <c r="G107" t="s">
        <v>141</v>
      </c>
      <c r="H107" t="s">
        <v>144</v>
      </c>
      <c r="I107">
        <v>27.8</v>
      </c>
      <c r="J107">
        <v>23.4</v>
      </c>
      <c r="K107">
        <v>908607.2</v>
      </c>
      <c r="L107">
        <v>12.31</v>
      </c>
      <c r="N107">
        <v>330.6</v>
      </c>
      <c r="O107">
        <v>37.4</v>
      </c>
      <c r="P107">
        <v>26.6</v>
      </c>
      <c r="Q107">
        <v>27.6</v>
      </c>
      <c r="R107">
        <v>1745318</v>
      </c>
      <c r="S107">
        <v>11.31</v>
      </c>
      <c r="U107">
        <v>494.9</v>
      </c>
      <c r="V107">
        <v>42.2</v>
      </c>
      <c r="W107">
        <v>24.6</v>
      </c>
      <c r="X107">
        <v>6.8</v>
      </c>
      <c r="Y107">
        <v>696342.5</v>
      </c>
      <c r="Z107">
        <v>9.42</v>
      </c>
      <c r="AB107">
        <v>249.8</v>
      </c>
      <c r="AC107">
        <v>39.799999999999997</v>
      </c>
      <c r="AD107">
        <v>19.7</v>
      </c>
      <c r="AE107">
        <v>21</v>
      </c>
      <c r="AF107">
        <v>517803.5</v>
      </c>
      <c r="AG107">
        <v>7.12</v>
      </c>
      <c r="AI107">
        <v>162</v>
      </c>
      <c r="AJ107">
        <v>51.3</v>
      </c>
      <c r="AK107">
        <v>14.5</v>
      </c>
      <c r="AL107">
        <v>28.6</v>
      </c>
      <c r="AM107">
        <v>356899.8</v>
      </c>
      <c r="AN107">
        <v>6.02</v>
      </c>
      <c r="AP107">
        <v>80.900000000000006</v>
      </c>
      <c r="AQ107">
        <v>74.400000000000006</v>
      </c>
      <c r="AR107">
        <v>11</v>
      </c>
      <c r="AS107">
        <v>13.4</v>
      </c>
      <c r="AT107">
        <v>338116.9</v>
      </c>
      <c r="AU107">
        <v>6.7</v>
      </c>
      <c r="AW107">
        <v>83.1</v>
      </c>
      <c r="AX107">
        <v>67</v>
      </c>
      <c r="AY107">
        <v>10.9</v>
      </c>
      <c r="AZ107">
        <v>32</v>
      </c>
      <c r="BA107">
        <v>360521.1</v>
      </c>
      <c r="BB107">
        <v>7.32</v>
      </c>
      <c r="BD107">
        <v>78.8</v>
      </c>
      <c r="BE107">
        <v>74.599999999999994</v>
      </c>
      <c r="BF107">
        <v>14.6</v>
      </c>
      <c r="BG107">
        <v>5</v>
      </c>
      <c r="BH107">
        <v>471263.1</v>
      </c>
      <c r="BI107">
        <v>7.1</v>
      </c>
      <c r="BK107">
        <v>132.9</v>
      </c>
      <c r="BL107">
        <v>54.6</v>
      </c>
      <c r="BM107">
        <v>16.600000000000001</v>
      </c>
      <c r="BN107">
        <v>18.2</v>
      </c>
      <c r="BO107">
        <v>586442.30000000005</v>
      </c>
      <c r="BP107">
        <v>8.68</v>
      </c>
      <c r="BR107">
        <v>162.69999999999999</v>
      </c>
      <c r="BS107">
        <v>56.2</v>
      </c>
      <c r="BT107">
        <v>20.6</v>
      </c>
      <c r="BU107">
        <v>6</v>
      </c>
      <c r="BV107">
        <v>799592.8</v>
      </c>
      <c r="BW107">
        <v>9.43</v>
      </c>
      <c r="BY107">
        <v>253.5</v>
      </c>
      <c r="BZ107">
        <v>42.5</v>
      </c>
      <c r="CA107">
        <v>22.3</v>
      </c>
      <c r="CB107">
        <v>43.8</v>
      </c>
      <c r="CC107">
        <v>873028.8</v>
      </c>
      <c r="CD107">
        <v>10.73</v>
      </c>
      <c r="CF107">
        <v>281.60000000000002</v>
      </c>
      <c r="CG107">
        <v>40.700000000000003</v>
      </c>
      <c r="CH107">
        <v>25</v>
      </c>
      <c r="CI107">
        <v>4.4000000000000004</v>
      </c>
      <c r="CJ107">
        <v>1013705.3</v>
      </c>
      <c r="CK107">
        <v>12.09</v>
      </c>
      <c r="CM107">
        <v>343.8</v>
      </c>
      <c r="CN107">
        <v>34.799999999999997</v>
      </c>
      <c r="CP107" s="3">
        <v>283.32452813333333</v>
      </c>
      <c r="CQ107" s="3">
        <v>368.2939243092531</v>
      </c>
      <c r="CR107" s="3">
        <v>330.59328943508331</v>
      </c>
      <c r="CS107" s="3">
        <v>279.4513129062604</v>
      </c>
      <c r="CT107" s="3">
        <v>325.40383910199995</v>
      </c>
      <c r="CU107" s="7">
        <v>0.06</v>
      </c>
      <c r="CV107" s="7">
        <v>0.14000000000000001</v>
      </c>
      <c r="CW107" s="7">
        <v>7.0000000000000007E-2</v>
      </c>
      <c r="CX107" s="7">
        <v>0.04</v>
      </c>
      <c r="CY107" s="3">
        <f t="shared" si="6"/>
        <v>100.95844144698508</v>
      </c>
      <c r="CZ107">
        <v>2476</v>
      </c>
      <c r="DA107">
        <v>1792</v>
      </c>
      <c r="DB107">
        <v>885690</v>
      </c>
      <c r="DC107">
        <v>2342</v>
      </c>
      <c r="DE107" t="s">
        <v>147</v>
      </c>
      <c r="DK107" s="5">
        <v>3796.3624465367934</v>
      </c>
      <c r="DM107" s="5">
        <v>2882.348444308539</v>
      </c>
    </row>
    <row r="108" spans="1:117" x14ac:dyDescent="0.25">
      <c r="A108" t="s">
        <v>109</v>
      </c>
      <c r="B108" t="s">
        <v>127</v>
      </c>
      <c r="C108">
        <v>118.25060000000001</v>
      </c>
      <c r="D108">
        <v>-30.918700000000001</v>
      </c>
      <c r="E108">
        <v>2015</v>
      </c>
      <c r="F108" t="s">
        <v>127</v>
      </c>
      <c r="G108" t="s">
        <v>141</v>
      </c>
      <c r="H108" t="s">
        <v>144</v>
      </c>
      <c r="I108">
        <v>28.2</v>
      </c>
      <c r="J108">
        <v>0.2</v>
      </c>
      <c r="K108">
        <v>927218.8</v>
      </c>
      <c r="L108">
        <v>12.4</v>
      </c>
      <c r="N108">
        <v>359</v>
      </c>
      <c r="O108">
        <v>27.3</v>
      </c>
      <c r="P108">
        <v>29</v>
      </c>
      <c r="Q108">
        <v>6.6</v>
      </c>
      <c r="R108">
        <v>685176.2</v>
      </c>
      <c r="S108">
        <v>10.53</v>
      </c>
      <c r="U108">
        <v>261.7</v>
      </c>
      <c r="V108">
        <v>33.6</v>
      </c>
      <c r="W108">
        <v>22.9</v>
      </c>
      <c r="X108">
        <v>81.599999999999994</v>
      </c>
      <c r="Y108">
        <v>663787.80000000005</v>
      </c>
      <c r="Z108">
        <v>9.57</v>
      </c>
      <c r="AB108">
        <v>220</v>
      </c>
      <c r="AC108">
        <v>50.1</v>
      </c>
      <c r="AD108">
        <v>18.3</v>
      </c>
      <c r="AE108">
        <v>29.8</v>
      </c>
      <c r="AF108">
        <v>490470.1</v>
      </c>
      <c r="AG108">
        <v>9.2100000000000009</v>
      </c>
      <c r="AI108">
        <v>144</v>
      </c>
      <c r="AJ108">
        <v>57.2</v>
      </c>
      <c r="AK108">
        <v>13.5</v>
      </c>
      <c r="AL108">
        <v>13</v>
      </c>
      <c r="AM108">
        <v>453039</v>
      </c>
      <c r="AN108">
        <v>7.36</v>
      </c>
      <c r="AP108">
        <v>123.2</v>
      </c>
      <c r="AQ108">
        <v>59.3</v>
      </c>
      <c r="AR108">
        <v>12.6</v>
      </c>
      <c r="AS108">
        <v>33.6</v>
      </c>
      <c r="AT108">
        <v>329816.2</v>
      </c>
      <c r="AU108">
        <v>6.7</v>
      </c>
      <c r="AW108">
        <v>79.7</v>
      </c>
      <c r="AX108">
        <v>68.900000000000006</v>
      </c>
      <c r="AY108">
        <v>11</v>
      </c>
      <c r="AZ108">
        <v>74</v>
      </c>
      <c r="BA108">
        <v>316683.3</v>
      </c>
      <c r="BB108">
        <v>5.94</v>
      </c>
      <c r="BD108">
        <v>72.5</v>
      </c>
      <c r="BE108">
        <v>72.900000000000006</v>
      </c>
      <c r="BF108">
        <v>11.9</v>
      </c>
      <c r="BG108">
        <v>66.2</v>
      </c>
      <c r="BH108">
        <v>454258.9</v>
      </c>
      <c r="BI108">
        <v>6.6</v>
      </c>
      <c r="BK108">
        <v>91.5</v>
      </c>
      <c r="BL108">
        <v>75.400000000000006</v>
      </c>
      <c r="BM108">
        <v>14.2</v>
      </c>
      <c r="BN108">
        <v>1.4</v>
      </c>
      <c r="BO108">
        <v>639646.9</v>
      </c>
      <c r="BP108">
        <v>7.09</v>
      </c>
      <c r="BR108">
        <v>167.8</v>
      </c>
      <c r="BS108">
        <v>54</v>
      </c>
      <c r="BT108">
        <v>21.7</v>
      </c>
      <c r="BU108">
        <v>1.4</v>
      </c>
      <c r="BV108">
        <v>372702.2</v>
      </c>
      <c r="BW108">
        <v>7.37</v>
      </c>
      <c r="BY108">
        <v>119.1</v>
      </c>
      <c r="BZ108">
        <v>40.6</v>
      </c>
      <c r="CA108">
        <v>23.4</v>
      </c>
      <c r="CB108">
        <v>63.2</v>
      </c>
      <c r="CC108">
        <v>822235.1</v>
      </c>
      <c r="CD108">
        <v>8.65</v>
      </c>
      <c r="CF108">
        <v>258.10000000000002</v>
      </c>
      <c r="CG108">
        <v>42.6</v>
      </c>
      <c r="CH108">
        <v>24.8</v>
      </c>
      <c r="CI108">
        <v>8.4</v>
      </c>
      <c r="CJ108">
        <v>963804.4</v>
      </c>
      <c r="CK108">
        <v>10.84</v>
      </c>
      <c r="CM108">
        <v>324.7</v>
      </c>
      <c r="CN108">
        <v>35.700000000000003</v>
      </c>
      <c r="CP108" s="3">
        <v>204.8839893083333</v>
      </c>
      <c r="CQ108" s="3">
        <v>357.71587473362189</v>
      </c>
      <c r="CR108" s="3">
        <v>322.98543302087501</v>
      </c>
      <c r="CS108" s="3">
        <v>251.33925340010413</v>
      </c>
      <c r="CT108" s="3">
        <v>238.07175714163543</v>
      </c>
      <c r="CU108" s="7">
        <v>0.06</v>
      </c>
      <c r="CV108" s="7">
        <v>0.14000000000000001</v>
      </c>
      <c r="CW108" s="7">
        <v>7.0000000000000007E-2</v>
      </c>
      <c r="CX108" s="7">
        <v>0.04</v>
      </c>
      <c r="CY108" s="3">
        <f t="shared" si="6"/>
        <v>93.797531130612526</v>
      </c>
      <c r="CZ108">
        <v>2505</v>
      </c>
      <c r="DA108">
        <v>2062</v>
      </c>
      <c r="DB108">
        <v>1031750</v>
      </c>
      <c r="DC108">
        <v>2372</v>
      </c>
      <c r="DE108" t="s">
        <v>147</v>
      </c>
      <c r="DK108" s="5">
        <v>3840.8271117022082</v>
      </c>
      <c r="DM108" s="5">
        <v>3316.6308550023482</v>
      </c>
    </row>
    <row r="109" spans="1:117" x14ac:dyDescent="0.25">
      <c r="A109" t="s">
        <v>109</v>
      </c>
      <c r="B109" t="s">
        <v>127</v>
      </c>
      <c r="C109">
        <v>118.25060000000001</v>
      </c>
      <c r="D109">
        <v>-30.918700000000001</v>
      </c>
      <c r="E109">
        <v>2016</v>
      </c>
      <c r="F109" t="s">
        <v>127</v>
      </c>
      <c r="G109" t="s">
        <v>141</v>
      </c>
      <c r="H109" t="s">
        <v>144</v>
      </c>
      <c r="I109">
        <v>26.5</v>
      </c>
      <c r="J109">
        <v>99</v>
      </c>
      <c r="K109">
        <v>810688.1</v>
      </c>
      <c r="L109">
        <v>10.55</v>
      </c>
      <c r="N109">
        <v>282.7</v>
      </c>
      <c r="O109">
        <v>45.5</v>
      </c>
      <c r="P109">
        <v>26.1</v>
      </c>
      <c r="Q109">
        <v>1.8</v>
      </c>
      <c r="R109">
        <v>863787.6</v>
      </c>
      <c r="S109">
        <v>10.69</v>
      </c>
      <c r="U109">
        <v>298</v>
      </c>
      <c r="V109">
        <v>34.4</v>
      </c>
      <c r="W109">
        <v>24</v>
      </c>
      <c r="X109">
        <v>57.4</v>
      </c>
      <c r="Y109">
        <v>645445.19999999995</v>
      </c>
      <c r="Z109">
        <v>9.81</v>
      </c>
      <c r="AB109">
        <v>216.5</v>
      </c>
      <c r="AC109">
        <v>52.6</v>
      </c>
      <c r="AD109">
        <v>18.899999999999999</v>
      </c>
      <c r="AE109">
        <v>31.2</v>
      </c>
      <c r="AF109">
        <v>440372.8</v>
      </c>
      <c r="AG109">
        <v>7.58</v>
      </c>
      <c r="AI109">
        <v>126.3</v>
      </c>
      <c r="AJ109">
        <v>64.2</v>
      </c>
      <c r="AK109">
        <v>12.5</v>
      </c>
      <c r="AL109">
        <v>56.6</v>
      </c>
      <c r="AM109">
        <v>402826</v>
      </c>
      <c r="AN109">
        <v>5.14</v>
      </c>
      <c r="AP109">
        <v>89.6</v>
      </c>
      <c r="AQ109">
        <v>72.3</v>
      </c>
      <c r="AR109">
        <v>10.6</v>
      </c>
      <c r="AS109">
        <v>21.2</v>
      </c>
      <c r="AT109">
        <v>306026.09999999998</v>
      </c>
      <c r="AU109">
        <v>6.34</v>
      </c>
      <c r="AW109">
        <v>63.1</v>
      </c>
      <c r="AX109">
        <v>76.7</v>
      </c>
      <c r="AY109">
        <v>9.6</v>
      </c>
      <c r="AZ109">
        <v>36.799999999999997</v>
      </c>
      <c r="BA109">
        <v>353035.4</v>
      </c>
      <c r="BB109">
        <v>7.04</v>
      </c>
      <c r="BD109">
        <v>73.400000000000006</v>
      </c>
      <c r="BE109">
        <v>75.7</v>
      </c>
      <c r="BF109">
        <v>10.3</v>
      </c>
      <c r="BG109">
        <v>30.2</v>
      </c>
      <c r="BH109">
        <v>427482.4</v>
      </c>
      <c r="BI109">
        <v>7.33</v>
      </c>
      <c r="BK109">
        <v>92.5</v>
      </c>
      <c r="BL109">
        <v>72.7</v>
      </c>
      <c r="BM109">
        <v>11.3</v>
      </c>
      <c r="BN109">
        <v>13</v>
      </c>
      <c r="BO109">
        <v>618598</v>
      </c>
      <c r="BP109">
        <v>7.62</v>
      </c>
      <c r="BR109">
        <v>143.1</v>
      </c>
      <c r="BS109">
        <v>62.9</v>
      </c>
      <c r="BT109">
        <v>16.8</v>
      </c>
      <c r="BU109">
        <v>6.8</v>
      </c>
      <c r="BV109">
        <v>814754.7</v>
      </c>
      <c r="BW109">
        <v>9.4600000000000009</v>
      </c>
      <c r="BY109">
        <v>236.5</v>
      </c>
      <c r="BZ109">
        <v>45.9</v>
      </c>
      <c r="CA109">
        <v>23.1</v>
      </c>
      <c r="CB109">
        <v>1.8</v>
      </c>
      <c r="CC109">
        <v>949779.3</v>
      </c>
      <c r="CD109">
        <v>9.86</v>
      </c>
      <c r="CF109">
        <v>317.8</v>
      </c>
      <c r="CG109">
        <v>30.7</v>
      </c>
      <c r="CH109">
        <v>24.2</v>
      </c>
      <c r="CI109">
        <v>20.8</v>
      </c>
      <c r="CJ109">
        <v>988034.5</v>
      </c>
      <c r="CK109">
        <v>11.09</v>
      </c>
      <c r="CM109">
        <v>328.9</v>
      </c>
      <c r="CN109">
        <v>36.299999999999997</v>
      </c>
      <c r="CP109" s="3">
        <v>133.12695639999998</v>
      </c>
      <c r="CQ109" s="3">
        <v>265.94031967119787</v>
      </c>
      <c r="CR109" s="3">
        <v>244.36784107392498</v>
      </c>
      <c r="CS109" s="3">
        <v>168.48709864302083</v>
      </c>
      <c r="CT109" s="3">
        <v>219.627445633875</v>
      </c>
      <c r="CU109" s="7">
        <v>0.06</v>
      </c>
      <c r="CV109" s="7">
        <v>0.14000000000000001</v>
      </c>
      <c r="CW109" s="7">
        <v>7.0000000000000007E-2</v>
      </c>
      <c r="CX109" s="7">
        <v>0.04</v>
      </c>
      <c r="CY109" s="3">
        <f t="shared" si="6"/>
        <v>70.747111660987827</v>
      </c>
      <c r="CZ109">
        <v>2387</v>
      </c>
      <c r="DA109">
        <v>1552</v>
      </c>
      <c r="DB109">
        <v>722700</v>
      </c>
      <c r="DC109">
        <v>2010</v>
      </c>
      <c r="DE109" t="s">
        <v>147</v>
      </c>
      <c r="DK109" s="5">
        <v>3659.9019224084518</v>
      </c>
      <c r="DM109" s="5">
        <v>2496.319634802931</v>
      </c>
    </row>
    <row r="110" spans="1:117" x14ac:dyDescent="0.25">
      <c r="A110" t="s">
        <v>109</v>
      </c>
      <c r="B110" t="s">
        <v>127</v>
      </c>
      <c r="C110">
        <v>118.25060000000001</v>
      </c>
      <c r="D110">
        <v>-30.918700000000001</v>
      </c>
      <c r="E110">
        <v>2017</v>
      </c>
      <c r="F110" t="s">
        <v>127</v>
      </c>
      <c r="G110" t="s">
        <v>141</v>
      </c>
      <c r="H110" t="s">
        <v>144</v>
      </c>
      <c r="I110">
        <v>26.8</v>
      </c>
      <c r="J110">
        <v>14</v>
      </c>
      <c r="K110">
        <v>943909.9</v>
      </c>
      <c r="L110">
        <v>10.71</v>
      </c>
      <c r="N110">
        <v>337</v>
      </c>
      <c r="O110">
        <v>33.5</v>
      </c>
      <c r="P110">
        <v>24.9</v>
      </c>
      <c r="Q110">
        <v>0</v>
      </c>
      <c r="R110">
        <v>686614.1</v>
      </c>
      <c r="S110">
        <v>10.53</v>
      </c>
      <c r="U110">
        <v>211.5</v>
      </c>
      <c r="V110">
        <v>54</v>
      </c>
      <c r="W110">
        <v>23.6</v>
      </c>
      <c r="X110">
        <v>0.8</v>
      </c>
      <c r="Y110">
        <v>372215.8</v>
      </c>
      <c r="Z110">
        <v>7.92</v>
      </c>
      <c r="AB110">
        <v>125.8</v>
      </c>
      <c r="AC110">
        <v>41.1</v>
      </c>
      <c r="AD110">
        <v>19.2</v>
      </c>
      <c r="AE110">
        <v>8.1999999999999993</v>
      </c>
      <c r="AF110">
        <v>548023.5</v>
      </c>
      <c r="AG110">
        <v>6.74</v>
      </c>
      <c r="AI110">
        <v>173.5</v>
      </c>
      <c r="AJ110">
        <v>47</v>
      </c>
      <c r="AK110">
        <v>14.4</v>
      </c>
      <c r="AL110">
        <v>3.8</v>
      </c>
      <c r="AM110">
        <v>407594.1</v>
      </c>
      <c r="AN110">
        <v>6.12</v>
      </c>
      <c r="AP110">
        <v>110.9</v>
      </c>
      <c r="AQ110">
        <v>60.2</v>
      </c>
      <c r="AR110">
        <v>11.9</v>
      </c>
      <c r="AS110">
        <v>2.2000000000000002</v>
      </c>
      <c r="AT110">
        <v>367479.3</v>
      </c>
      <c r="AU110">
        <v>5.6</v>
      </c>
      <c r="AW110">
        <v>99.5</v>
      </c>
      <c r="AX110">
        <v>53.9</v>
      </c>
      <c r="AY110">
        <v>10.9</v>
      </c>
      <c r="AZ110">
        <v>33.6</v>
      </c>
      <c r="BA110">
        <v>352363.5</v>
      </c>
      <c r="BB110">
        <v>7.3</v>
      </c>
      <c r="BD110">
        <v>77.3</v>
      </c>
      <c r="BE110">
        <v>73.8</v>
      </c>
      <c r="BF110">
        <v>11.7</v>
      </c>
      <c r="BG110">
        <v>49.6</v>
      </c>
      <c r="BH110">
        <v>453105.3</v>
      </c>
      <c r="BI110">
        <v>7.26</v>
      </c>
      <c r="BK110">
        <v>97.4</v>
      </c>
      <c r="BL110">
        <v>73.2</v>
      </c>
      <c r="BM110">
        <v>14.5</v>
      </c>
      <c r="BN110">
        <v>27.4</v>
      </c>
      <c r="BO110">
        <v>576955.80000000005</v>
      </c>
      <c r="BP110">
        <v>7.71</v>
      </c>
      <c r="BR110">
        <v>146.4</v>
      </c>
      <c r="BS110">
        <v>59.4</v>
      </c>
      <c r="BT110">
        <v>17.8</v>
      </c>
      <c r="BU110">
        <v>19.2</v>
      </c>
      <c r="BV110">
        <v>804510.2</v>
      </c>
      <c r="BW110">
        <v>9.57</v>
      </c>
      <c r="BY110">
        <v>229.7</v>
      </c>
      <c r="BZ110">
        <v>47.7</v>
      </c>
      <c r="CA110">
        <v>23.3</v>
      </c>
      <c r="CB110">
        <v>16.8</v>
      </c>
      <c r="CC110">
        <v>864703.9</v>
      </c>
      <c r="CD110">
        <v>10.37</v>
      </c>
      <c r="CF110">
        <v>285.5</v>
      </c>
      <c r="CG110">
        <v>39.5</v>
      </c>
      <c r="CH110">
        <v>25.3</v>
      </c>
      <c r="CI110">
        <v>9</v>
      </c>
      <c r="CJ110">
        <v>936416.1</v>
      </c>
      <c r="CK110">
        <v>10.81</v>
      </c>
      <c r="CM110">
        <v>323.7</v>
      </c>
      <c r="CN110">
        <v>32.700000000000003</v>
      </c>
      <c r="CP110" s="3">
        <v>119.07146077499999</v>
      </c>
      <c r="CQ110" s="3">
        <v>235.14453102913441</v>
      </c>
      <c r="CR110" s="3">
        <v>211.74875985799997</v>
      </c>
      <c r="CS110" s="3">
        <v>150.26687985202918</v>
      </c>
      <c r="CT110" s="3">
        <v>166.58352970400003</v>
      </c>
      <c r="CU110" s="7">
        <v>0.06</v>
      </c>
      <c r="CV110" s="7">
        <v>0.14000000000000001</v>
      </c>
      <c r="CW110" s="7">
        <v>7.0000000000000007E-2</v>
      </c>
      <c r="CX110" s="7">
        <v>0.04</v>
      </c>
      <c r="CY110" s="3">
        <f t="shared" si="6"/>
        <v>60.935521019670105</v>
      </c>
      <c r="CZ110">
        <v>2361</v>
      </c>
      <c r="DA110">
        <v>1647</v>
      </c>
      <c r="DB110">
        <v>796380</v>
      </c>
      <c r="DC110">
        <v>2368</v>
      </c>
      <c r="DE110" t="s">
        <v>147</v>
      </c>
      <c r="DK110" s="5">
        <v>3620.0370501911834</v>
      </c>
      <c r="DM110" s="5">
        <v>2649.1227052322342</v>
      </c>
    </row>
    <row r="111" spans="1:117" x14ac:dyDescent="0.25">
      <c r="A111" t="s">
        <v>109</v>
      </c>
      <c r="B111" t="s">
        <v>127</v>
      </c>
      <c r="C111">
        <v>118.25060000000001</v>
      </c>
      <c r="D111">
        <v>-30.918700000000001</v>
      </c>
      <c r="E111">
        <v>2018</v>
      </c>
      <c r="F111" t="s">
        <v>127</v>
      </c>
      <c r="G111" t="s">
        <v>141</v>
      </c>
      <c r="H111" t="s">
        <v>144</v>
      </c>
      <c r="I111">
        <v>26.5</v>
      </c>
      <c r="J111">
        <v>25.8</v>
      </c>
      <c r="K111">
        <v>918276</v>
      </c>
      <c r="L111">
        <v>12.73</v>
      </c>
      <c r="N111">
        <v>320.39999999999998</v>
      </c>
      <c r="O111">
        <v>41.4</v>
      </c>
      <c r="P111">
        <v>25.9</v>
      </c>
      <c r="Q111">
        <v>28.2</v>
      </c>
      <c r="R111">
        <v>737192.3</v>
      </c>
      <c r="S111">
        <v>10.99</v>
      </c>
      <c r="U111">
        <v>250.2</v>
      </c>
      <c r="V111">
        <v>47</v>
      </c>
      <c r="W111">
        <v>24.7</v>
      </c>
      <c r="X111">
        <v>8.8000000000000007</v>
      </c>
      <c r="Y111">
        <v>705129.8</v>
      </c>
      <c r="Z111">
        <v>11.24</v>
      </c>
      <c r="AB111">
        <v>258.60000000000002</v>
      </c>
      <c r="AC111">
        <v>41.7</v>
      </c>
      <c r="AD111">
        <v>19.399999999999999</v>
      </c>
      <c r="AE111">
        <v>0.6</v>
      </c>
      <c r="AF111">
        <v>543504.1</v>
      </c>
      <c r="AG111">
        <v>6.8</v>
      </c>
      <c r="AI111">
        <v>164.8</v>
      </c>
      <c r="AJ111">
        <v>50.7</v>
      </c>
      <c r="AK111">
        <v>14.9</v>
      </c>
      <c r="AL111">
        <v>11.2</v>
      </c>
      <c r="AM111">
        <v>444617.2</v>
      </c>
      <c r="AN111">
        <v>8.02</v>
      </c>
      <c r="AP111">
        <v>140.30000000000001</v>
      </c>
      <c r="AQ111">
        <v>50.3</v>
      </c>
      <c r="AR111">
        <v>11.6</v>
      </c>
      <c r="AS111">
        <v>40</v>
      </c>
      <c r="AT111">
        <v>311381.59999999998</v>
      </c>
      <c r="AU111">
        <v>4.53</v>
      </c>
      <c r="AW111">
        <v>67.7</v>
      </c>
      <c r="AX111">
        <v>75.900000000000006</v>
      </c>
      <c r="AY111">
        <v>11.6</v>
      </c>
      <c r="AZ111">
        <v>30.8</v>
      </c>
      <c r="BA111">
        <v>361696.7</v>
      </c>
      <c r="BB111">
        <v>7.21</v>
      </c>
      <c r="BD111">
        <v>77.900000000000006</v>
      </c>
      <c r="BE111">
        <v>75.599999999999994</v>
      </c>
      <c r="BF111">
        <v>10.4</v>
      </c>
      <c r="BG111">
        <v>36.799999999999997</v>
      </c>
      <c r="BH111">
        <v>441058.4</v>
      </c>
      <c r="BI111">
        <v>7.7</v>
      </c>
      <c r="BK111">
        <v>93.8</v>
      </c>
      <c r="BL111">
        <v>73.599999999999994</v>
      </c>
      <c r="BM111">
        <v>13.5</v>
      </c>
      <c r="BN111">
        <v>5</v>
      </c>
      <c r="BO111">
        <v>649300.4</v>
      </c>
      <c r="BP111">
        <v>7.12</v>
      </c>
      <c r="BR111">
        <v>167.9</v>
      </c>
      <c r="BS111">
        <v>55.9</v>
      </c>
      <c r="BT111">
        <v>18.3</v>
      </c>
      <c r="BU111">
        <v>35.200000000000003</v>
      </c>
      <c r="BV111">
        <v>693693</v>
      </c>
      <c r="BW111">
        <v>9.4600000000000009</v>
      </c>
      <c r="BY111">
        <v>195.8</v>
      </c>
      <c r="BZ111">
        <v>57.8</v>
      </c>
      <c r="CA111">
        <v>21.2</v>
      </c>
      <c r="CB111">
        <v>24</v>
      </c>
      <c r="CC111">
        <v>860764.8</v>
      </c>
      <c r="CD111">
        <v>10.24</v>
      </c>
      <c r="CF111">
        <v>265.8</v>
      </c>
      <c r="CG111">
        <v>40.4</v>
      </c>
      <c r="CH111">
        <v>25.7</v>
      </c>
      <c r="CI111">
        <v>2.4</v>
      </c>
      <c r="CJ111">
        <v>962046.9</v>
      </c>
      <c r="CK111">
        <v>10.49</v>
      </c>
      <c r="CM111">
        <v>331.2</v>
      </c>
      <c r="CN111">
        <v>32.700000000000003</v>
      </c>
      <c r="CP111" s="3">
        <v>149.45420497500001</v>
      </c>
      <c r="CQ111" s="3">
        <v>274.57347051901041</v>
      </c>
      <c r="CR111" s="3">
        <v>237.4236465424917</v>
      </c>
      <c r="CS111" s="3">
        <v>174.41377918435418</v>
      </c>
      <c r="CT111" s="3">
        <v>166.56083829114584</v>
      </c>
      <c r="CU111" s="7">
        <v>0.06</v>
      </c>
      <c r="CV111" s="7">
        <v>0.14000000000000001</v>
      </c>
      <c r="CW111" s="7">
        <v>7.0000000000000007E-2</v>
      </c>
      <c r="CX111" s="7">
        <v>0.04</v>
      </c>
      <c r="CY111" s="3">
        <f t="shared" si="6"/>
        <v>68.585116821640085</v>
      </c>
      <c r="CZ111">
        <v>1848</v>
      </c>
      <c r="DA111">
        <v>1507</v>
      </c>
      <c r="DB111">
        <v>721140</v>
      </c>
      <c r="DC111">
        <v>1837</v>
      </c>
      <c r="DE111" t="s">
        <v>147</v>
      </c>
      <c r="DK111" s="5">
        <v>2833.4724560581562</v>
      </c>
      <c r="DM111" s="5">
        <v>2423.9392330206297</v>
      </c>
    </row>
    <row r="112" spans="1:117" x14ac:dyDescent="0.25">
      <c r="A112" t="s">
        <v>109</v>
      </c>
      <c r="B112" t="s">
        <v>127</v>
      </c>
      <c r="C112">
        <v>118.25060000000001</v>
      </c>
      <c r="D112">
        <v>-30.918700000000001</v>
      </c>
      <c r="E112">
        <v>2019</v>
      </c>
      <c r="F112" t="s">
        <v>127</v>
      </c>
      <c r="G112" t="s">
        <v>141</v>
      </c>
      <c r="H112" t="s">
        <v>144</v>
      </c>
      <c r="I112">
        <v>27.2</v>
      </c>
      <c r="J112">
        <v>1.6</v>
      </c>
      <c r="K112">
        <v>992093</v>
      </c>
      <c r="L112">
        <v>11.17</v>
      </c>
      <c r="N112">
        <v>355.2</v>
      </c>
      <c r="O112">
        <v>30.7</v>
      </c>
      <c r="P112">
        <v>21</v>
      </c>
      <c r="Q112">
        <v>11</v>
      </c>
      <c r="R112">
        <v>583350</v>
      </c>
      <c r="S112">
        <v>10.1</v>
      </c>
      <c r="U112">
        <v>182.7</v>
      </c>
      <c r="V112">
        <v>47.4</v>
      </c>
      <c r="W112">
        <v>24.9</v>
      </c>
      <c r="X112">
        <v>5.2</v>
      </c>
      <c r="Y112">
        <v>644948.4</v>
      </c>
      <c r="Z112">
        <v>9.75</v>
      </c>
      <c r="AB112">
        <v>235.7</v>
      </c>
      <c r="AC112">
        <v>41.2</v>
      </c>
      <c r="AD112">
        <v>18.899999999999999</v>
      </c>
      <c r="AE112">
        <v>8.1999999999999993</v>
      </c>
      <c r="AF112">
        <v>532307.6</v>
      </c>
      <c r="AG112">
        <v>8.44</v>
      </c>
      <c r="AI112">
        <v>169.4</v>
      </c>
      <c r="AJ112">
        <v>49</v>
      </c>
      <c r="AK112">
        <v>13</v>
      </c>
      <c r="AL112">
        <v>1.8</v>
      </c>
      <c r="AM112">
        <v>450573.1</v>
      </c>
      <c r="AN112">
        <v>6.09</v>
      </c>
      <c r="AP112">
        <v>125.8</v>
      </c>
      <c r="AQ112">
        <v>51.6</v>
      </c>
      <c r="AR112">
        <v>11.7</v>
      </c>
      <c r="AS112">
        <v>70.599999999999994</v>
      </c>
      <c r="AT112">
        <v>308276.7</v>
      </c>
      <c r="AU112">
        <v>4.5</v>
      </c>
      <c r="AW112">
        <v>75.900000000000006</v>
      </c>
      <c r="AX112">
        <v>68.7</v>
      </c>
      <c r="AY112">
        <v>11</v>
      </c>
      <c r="AZ112">
        <v>28.8</v>
      </c>
      <c r="BA112">
        <v>394242.2</v>
      </c>
      <c r="BB112">
        <v>5.87</v>
      </c>
      <c r="BD112">
        <v>82.9</v>
      </c>
      <c r="BE112">
        <v>73.900000000000006</v>
      </c>
      <c r="BF112">
        <v>11.9</v>
      </c>
      <c r="BG112">
        <v>32</v>
      </c>
      <c r="BH112">
        <v>503335.8</v>
      </c>
      <c r="BI112">
        <v>6.19</v>
      </c>
      <c r="BK112">
        <v>124.5</v>
      </c>
      <c r="BL112">
        <v>63.4</v>
      </c>
      <c r="BM112">
        <v>16.5</v>
      </c>
      <c r="BN112">
        <v>2.4</v>
      </c>
      <c r="BO112">
        <v>669899.9</v>
      </c>
      <c r="BP112">
        <v>7.11</v>
      </c>
      <c r="BR112">
        <v>186.7</v>
      </c>
      <c r="BS112">
        <v>48.9</v>
      </c>
      <c r="BT112">
        <v>19.899999999999999</v>
      </c>
      <c r="BU112">
        <v>16.600000000000001</v>
      </c>
      <c r="BV112">
        <v>824494.7</v>
      </c>
      <c r="BW112">
        <v>8.9</v>
      </c>
      <c r="BY112">
        <v>255.4</v>
      </c>
      <c r="BZ112">
        <v>41.7</v>
      </c>
      <c r="CA112">
        <v>23.8</v>
      </c>
      <c r="CB112">
        <v>0.6</v>
      </c>
      <c r="CC112">
        <v>929314.4</v>
      </c>
      <c r="CD112">
        <v>10.220000000000001</v>
      </c>
      <c r="CF112">
        <v>316.7</v>
      </c>
      <c r="CG112">
        <v>29.1</v>
      </c>
      <c r="CH112">
        <v>28.9</v>
      </c>
      <c r="CI112">
        <v>9.8000000000000007</v>
      </c>
      <c r="CJ112">
        <v>980469.8</v>
      </c>
      <c r="CK112">
        <v>10.17</v>
      </c>
      <c r="CM112">
        <v>359.6</v>
      </c>
      <c r="CN112">
        <v>27.9</v>
      </c>
      <c r="CP112" s="3">
        <v>151.20769046666666</v>
      </c>
      <c r="CQ112" s="3">
        <v>267.33967790703502</v>
      </c>
      <c r="CR112" s="3">
        <v>246.94953969827165</v>
      </c>
      <c r="CS112" s="3">
        <v>186.82042264949916</v>
      </c>
      <c r="CT112" s="3">
        <v>164.67061180174997</v>
      </c>
      <c r="CU112" s="7">
        <v>0.06</v>
      </c>
      <c r="CV112" s="7">
        <v>0.14000000000000001</v>
      </c>
      <c r="CW112" s="7">
        <v>7.0000000000000007E-2</v>
      </c>
      <c r="CX112" s="7">
        <v>0.04</v>
      </c>
      <c r="CY112" s="3">
        <f t="shared" si="6"/>
        <v>70.277570289715072</v>
      </c>
      <c r="CZ112">
        <v>3132</v>
      </c>
      <c r="DA112">
        <v>1716</v>
      </c>
      <c r="DB112">
        <v>1037670</v>
      </c>
      <c r="DC112">
        <v>2915</v>
      </c>
      <c r="DE112" t="s">
        <v>147</v>
      </c>
      <c r="DK112" s="5">
        <v>4802.1838378647972</v>
      </c>
      <c r="DM112" s="5">
        <v>2760.1059879650966</v>
      </c>
    </row>
    <row r="113" spans="1:117" x14ac:dyDescent="0.25">
      <c r="A113" t="s">
        <v>109</v>
      </c>
      <c r="B113" t="s">
        <v>127</v>
      </c>
      <c r="C113">
        <v>118.25060000000001</v>
      </c>
      <c r="D113">
        <v>-30.918700000000001</v>
      </c>
      <c r="E113">
        <v>2020</v>
      </c>
      <c r="F113" t="s">
        <v>127</v>
      </c>
      <c r="G113" t="s">
        <v>141</v>
      </c>
      <c r="H113" t="s">
        <v>144</v>
      </c>
      <c r="I113">
        <v>26.9</v>
      </c>
      <c r="J113">
        <v>0</v>
      </c>
      <c r="K113">
        <v>978475.9</v>
      </c>
      <c r="L113">
        <v>11.23</v>
      </c>
      <c r="N113">
        <v>343.8</v>
      </c>
      <c r="O113">
        <v>33.200000000000003</v>
      </c>
      <c r="P113">
        <v>26.8</v>
      </c>
      <c r="Q113">
        <v>113</v>
      </c>
      <c r="R113">
        <v>683054</v>
      </c>
      <c r="S113">
        <v>12.46</v>
      </c>
      <c r="U113">
        <v>257.2</v>
      </c>
      <c r="V113">
        <v>44.3</v>
      </c>
      <c r="W113">
        <v>23.4</v>
      </c>
      <c r="X113">
        <v>5</v>
      </c>
      <c r="Y113">
        <v>686143.5</v>
      </c>
      <c r="Z113">
        <v>9.74</v>
      </c>
      <c r="AB113">
        <v>230.9</v>
      </c>
      <c r="AC113">
        <v>45.9</v>
      </c>
      <c r="AD113">
        <v>20.100000000000001</v>
      </c>
      <c r="AE113">
        <v>6.4</v>
      </c>
      <c r="AF113">
        <v>499127.1</v>
      </c>
      <c r="AG113">
        <v>7.04</v>
      </c>
      <c r="AI113">
        <v>164.5</v>
      </c>
      <c r="AJ113">
        <v>47.1</v>
      </c>
      <c r="AK113">
        <v>14.1</v>
      </c>
      <c r="AL113">
        <v>19.2</v>
      </c>
      <c r="AM113">
        <v>423887.5</v>
      </c>
      <c r="AN113">
        <v>8.2200000000000006</v>
      </c>
      <c r="AP113">
        <v>127.2</v>
      </c>
      <c r="AQ113">
        <v>54.7</v>
      </c>
      <c r="AR113">
        <v>13.2</v>
      </c>
      <c r="AS113">
        <v>23</v>
      </c>
      <c r="AT113">
        <v>350848.3</v>
      </c>
      <c r="AU113">
        <v>6.83</v>
      </c>
      <c r="AW113">
        <v>91.5</v>
      </c>
      <c r="AX113">
        <v>64.7</v>
      </c>
      <c r="AY113">
        <v>11.6</v>
      </c>
      <c r="AZ113">
        <v>27.8</v>
      </c>
      <c r="BA113">
        <v>409871.9</v>
      </c>
      <c r="BB113">
        <v>6.87</v>
      </c>
      <c r="BD113">
        <v>98.7</v>
      </c>
      <c r="BE113">
        <v>66.7</v>
      </c>
      <c r="BF113">
        <v>11.9</v>
      </c>
      <c r="BG113">
        <v>35.6</v>
      </c>
      <c r="BH113">
        <v>452008.9</v>
      </c>
      <c r="BI113">
        <v>8.15</v>
      </c>
      <c r="BK113">
        <v>103.1</v>
      </c>
      <c r="BL113">
        <v>71.099999999999994</v>
      </c>
      <c r="BM113">
        <v>15.5</v>
      </c>
      <c r="BN113">
        <v>4.8</v>
      </c>
      <c r="BO113">
        <v>628870.69999999995</v>
      </c>
      <c r="BP113">
        <v>8.7799999999999994</v>
      </c>
      <c r="BR113">
        <v>176.2</v>
      </c>
      <c r="BS113">
        <v>54.4</v>
      </c>
      <c r="BT113">
        <v>19.7</v>
      </c>
      <c r="BU113">
        <v>2.2000000000000002</v>
      </c>
      <c r="BV113">
        <v>806460.1</v>
      </c>
      <c r="BW113">
        <v>9.84</v>
      </c>
      <c r="BY113">
        <v>252.1</v>
      </c>
      <c r="BZ113">
        <v>40.700000000000003</v>
      </c>
      <c r="CA113">
        <v>20.7</v>
      </c>
      <c r="CB113">
        <v>27.4</v>
      </c>
      <c r="CC113">
        <v>849713.4</v>
      </c>
      <c r="CD113">
        <v>10.33</v>
      </c>
      <c r="CF113">
        <v>260.10000000000002</v>
      </c>
      <c r="CG113">
        <v>46.6</v>
      </c>
      <c r="CH113">
        <v>25.5</v>
      </c>
      <c r="CI113">
        <v>6</v>
      </c>
      <c r="CJ113">
        <v>994962.1</v>
      </c>
      <c r="CK113">
        <v>11.24</v>
      </c>
      <c r="CM113">
        <v>344.7</v>
      </c>
      <c r="CN113">
        <v>30.1</v>
      </c>
      <c r="CP113" s="3">
        <v>137.12151142499999</v>
      </c>
      <c r="CQ113" s="3">
        <v>183.94377395835087</v>
      </c>
      <c r="CR113" s="3">
        <v>171.50265380089249</v>
      </c>
      <c r="CS113" s="3">
        <v>153.47587761539251</v>
      </c>
      <c r="CT113" s="3">
        <v>168.62831412656331</v>
      </c>
      <c r="CU113" s="7">
        <v>0.06</v>
      </c>
      <c r="CV113" s="7">
        <v>0.14000000000000001</v>
      </c>
      <c r="CW113" s="7">
        <v>7.0000000000000007E-2</v>
      </c>
      <c r="CX113" s="7">
        <v>0.04</v>
      </c>
      <c r="CY113" s="3">
        <f t="shared" si="6"/>
        <v>52.535441967766019</v>
      </c>
      <c r="CZ113">
        <v>1591</v>
      </c>
      <c r="DA113">
        <v>1677</v>
      </c>
      <c r="DB113">
        <v>864980</v>
      </c>
      <c r="DC113">
        <v>1861</v>
      </c>
      <c r="DE113" t="s">
        <v>147</v>
      </c>
      <c r="DK113" s="5">
        <v>2439.4235268336183</v>
      </c>
      <c r="DM113" s="5">
        <v>2697.3763064204354</v>
      </c>
    </row>
    <row r="114" spans="1:117" x14ac:dyDescent="0.25">
      <c r="A114" t="s">
        <v>110</v>
      </c>
      <c r="B114" t="s">
        <v>128</v>
      </c>
      <c r="C114">
        <v>115.44614199999999</v>
      </c>
      <c r="D114">
        <v>-28.588141</v>
      </c>
      <c r="E114">
        <v>2013</v>
      </c>
      <c r="F114" t="s">
        <v>128</v>
      </c>
      <c r="G114" t="s">
        <v>141</v>
      </c>
      <c r="H114" t="s">
        <v>144</v>
      </c>
      <c r="I114">
        <v>27.8</v>
      </c>
      <c r="J114">
        <v>4</v>
      </c>
      <c r="K114">
        <v>1017704.3</v>
      </c>
      <c r="L114">
        <v>17.78</v>
      </c>
      <c r="M114">
        <v>34.299999999999997</v>
      </c>
      <c r="N114">
        <v>383.5</v>
      </c>
      <c r="O114">
        <v>43.5</v>
      </c>
      <c r="P114">
        <v>29.3</v>
      </c>
      <c r="Q114">
        <v>0.2</v>
      </c>
      <c r="R114">
        <v>847710.8</v>
      </c>
      <c r="S114">
        <v>17.04</v>
      </c>
      <c r="T114">
        <v>35.9</v>
      </c>
      <c r="U114">
        <v>350.2</v>
      </c>
      <c r="V114">
        <v>34.1</v>
      </c>
      <c r="W114">
        <v>23.5</v>
      </c>
      <c r="X114">
        <v>20</v>
      </c>
      <c r="Y114">
        <v>766479.4</v>
      </c>
      <c r="Z114">
        <v>15.76</v>
      </c>
      <c r="AA114">
        <v>29.6</v>
      </c>
      <c r="AB114">
        <v>272.7</v>
      </c>
      <c r="AC114">
        <v>52.3</v>
      </c>
      <c r="AD114">
        <v>23.4</v>
      </c>
      <c r="AE114">
        <v>6.8</v>
      </c>
      <c r="AF114">
        <v>583818.19999999995</v>
      </c>
      <c r="AG114">
        <v>12.26</v>
      </c>
      <c r="AH114">
        <v>27.4</v>
      </c>
      <c r="AI114">
        <v>219.3</v>
      </c>
      <c r="AJ114">
        <v>51.2</v>
      </c>
      <c r="AK114">
        <v>15.9</v>
      </c>
      <c r="AL114">
        <v>38</v>
      </c>
      <c r="AM114">
        <v>463018.2</v>
      </c>
      <c r="AN114">
        <v>11.61</v>
      </c>
      <c r="AO114">
        <v>19</v>
      </c>
      <c r="AP114">
        <v>131</v>
      </c>
      <c r="AQ114">
        <v>69.8</v>
      </c>
      <c r="AR114">
        <v>13.2</v>
      </c>
      <c r="AS114">
        <v>5.6</v>
      </c>
      <c r="AT114">
        <v>425295.7</v>
      </c>
      <c r="AU114">
        <v>11.08</v>
      </c>
      <c r="AV114">
        <v>15.3</v>
      </c>
      <c r="AW114">
        <v>116.1</v>
      </c>
      <c r="AX114">
        <v>67.7</v>
      </c>
      <c r="AY114">
        <v>11.9</v>
      </c>
      <c r="AZ114">
        <v>11.2</v>
      </c>
      <c r="BA114">
        <v>466486.4</v>
      </c>
      <c r="BB114">
        <v>11.17</v>
      </c>
      <c r="BC114">
        <v>14.4</v>
      </c>
      <c r="BD114">
        <v>123.5</v>
      </c>
      <c r="BE114">
        <v>68.5</v>
      </c>
      <c r="BF114">
        <v>13.9</v>
      </c>
      <c r="BG114">
        <v>32.799999999999997</v>
      </c>
      <c r="BH114">
        <v>526925.30000000005</v>
      </c>
      <c r="BI114">
        <v>10.62</v>
      </c>
      <c r="BJ114">
        <v>16.8</v>
      </c>
      <c r="BK114">
        <v>139.5</v>
      </c>
      <c r="BL114">
        <v>71.7</v>
      </c>
      <c r="BM114">
        <v>14.8</v>
      </c>
      <c r="BN114">
        <v>13.4</v>
      </c>
      <c r="BO114">
        <v>650961.5</v>
      </c>
      <c r="BP114">
        <v>12.13</v>
      </c>
      <c r="BQ114">
        <v>19.3</v>
      </c>
      <c r="BR114">
        <v>158.6</v>
      </c>
      <c r="BS114">
        <v>74.3</v>
      </c>
      <c r="BT114">
        <v>19.600000000000001</v>
      </c>
      <c r="BU114">
        <v>8</v>
      </c>
      <c r="BV114">
        <v>913974</v>
      </c>
      <c r="BW114">
        <v>12.26</v>
      </c>
      <c r="BX114">
        <v>25.9</v>
      </c>
      <c r="BY114">
        <v>276.89999999999998</v>
      </c>
      <c r="BZ114">
        <v>54.7</v>
      </c>
      <c r="CA114">
        <v>24.2</v>
      </c>
      <c r="CB114">
        <v>5</v>
      </c>
      <c r="CC114">
        <v>916521.1</v>
      </c>
      <c r="CD114">
        <v>14.09</v>
      </c>
      <c r="CE114">
        <v>32.200000000000003</v>
      </c>
      <c r="CF114">
        <v>315.10000000000002</v>
      </c>
      <c r="CG114">
        <v>47.8</v>
      </c>
      <c r="CH114">
        <v>26.3</v>
      </c>
      <c r="CI114">
        <v>49.2</v>
      </c>
      <c r="CJ114">
        <v>1000754.8</v>
      </c>
      <c r="CK114">
        <v>15.97</v>
      </c>
      <c r="CL114">
        <v>33</v>
      </c>
      <c r="CM114">
        <v>369.4</v>
      </c>
      <c r="CN114">
        <v>41</v>
      </c>
      <c r="CP114" s="3">
        <v>344.25478384166667</v>
      </c>
      <c r="CQ114" s="3">
        <v>485.1324771412531</v>
      </c>
      <c r="CR114" s="3">
        <v>453.99912920229173</v>
      </c>
      <c r="CS114" s="3">
        <v>379.15555696741984</v>
      </c>
      <c r="CT114" s="3">
        <v>431.36433691804177</v>
      </c>
      <c r="CU114" s="7">
        <v>0.06</v>
      </c>
      <c r="CV114" s="7">
        <v>0.14000000000000001</v>
      </c>
      <c r="CW114" s="7">
        <v>7.0000000000000007E-2</v>
      </c>
      <c r="CX114" s="7">
        <v>0.04</v>
      </c>
      <c r="CY114" s="3">
        <f t="shared" si="6"/>
        <v>136.46328918123712</v>
      </c>
      <c r="CZ114">
        <v>1198</v>
      </c>
      <c r="DA114">
        <v>1617</v>
      </c>
      <c r="DB114">
        <v>619230</v>
      </c>
      <c r="DC114">
        <v>1156</v>
      </c>
      <c r="DE114" t="s">
        <v>147</v>
      </c>
      <c r="DK114" s="5">
        <v>2526.8122423433197</v>
      </c>
      <c r="DM114" s="5">
        <v>2134.4975306036304</v>
      </c>
    </row>
    <row r="115" spans="1:117" x14ac:dyDescent="0.25">
      <c r="A115" t="s">
        <v>110</v>
      </c>
      <c r="B115" t="s">
        <v>128</v>
      </c>
      <c r="C115">
        <v>115.44614199999999</v>
      </c>
      <c r="D115">
        <v>-28.588141</v>
      </c>
      <c r="E115">
        <v>2014</v>
      </c>
      <c r="F115" t="s">
        <v>128</v>
      </c>
      <c r="G115" t="s">
        <v>141</v>
      </c>
      <c r="H115" t="s">
        <v>144</v>
      </c>
      <c r="I115">
        <v>28</v>
      </c>
      <c r="J115">
        <v>3.4</v>
      </c>
      <c r="K115">
        <v>948020.3</v>
      </c>
      <c r="L115">
        <v>17.05</v>
      </c>
      <c r="M115">
        <v>35.4</v>
      </c>
      <c r="N115">
        <v>361.7</v>
      </c>
      <c r="O115">
        <v>44</v>
      </c>
      <c r="P115">
        <v>30.4</v>
      </c>
      <c r="Q115">
        <v>5.2</v>
      </c>
      <c r="R115">
        <v>799894.3</v>
      </c>
      <c r="S115">
        <v>16.16</v>
      </c>
      <c r="T115">
        <v>37.6</v>
      </c>
      <c r="U115">
        <v>328.9</v>
      </c>
      <c r="V115">
        <v>35.9</v>
      </c>
      <c r="W115">
        <v>26.3</v>
      </c>
      <c r="X115">
        <v>17</v>
      </c>
      <c r="Y115">
        <v>710421.2</v>
      </c>
      <c r="Z115">
        <v>12.71</v>
      </c>
      <c r="AA115">
        <v>32</v>
      </c>
      <c r="AB115">
        <v>276.3</v>
      </c>
      <c r="AC115">
        <v>45.7</v>
      </c>
      <c r="AD115">
        <v>22</v>
      </c>
      <c r="AE115">
        <v>49.8</v>
      </c>
      <c r="AF115">
        <v>562774</v>
      </c>
      <c r="AG115">
        <v>10.74</v>
      </c>
      <c r="AH115">
        <v>26.6</v>
      </c>
      <c r="AI115">
        <v>195.5</v>
      </c>
      <c r="AJ115">
        <v>52</v>
      </c>
      <c r="AK115">
        <v>16.600000000000001</v>
      </c>
      <c r="AL115">
        <v>84.4</v>
      </c>
      <c r="AM115">
        <v>410183.9</v>
      </c>
      <c r="AN115">
        <v>9.32</v>
      </c>
      <c r="AO115">
        <v>18.100000000000001</v>
      </c>
      <c r="AP115">
        <v>106.7</v>
      </c>
      <c r="AQ115">
        <v>76.099999999999994</v>
      </c>
      <c r="AR115">
        <v>13.4</v>
      </c>
      <c r="AS115">
        <v>17.399999999999999</v>
      </c>
      <c r="AT115">
        <v>402692.5</v>
      </c>
      <c r="AU115">
        <v>10.37</v>
      </c>
      <c r="AV115">
        <v>14.4</v>
      </c>
      <c r="AW115">
        <v>114.6</v>
      </c>
      <c r="AX115">
        <v>65.5</v>
      </c>
      <c r="AY115">
        <v>12.3</v>
      </c>
      <c r="AZ115">
        <v>22</v>
      </c>
      <c r="BA115">
        <v>414161.3</v>
      </c>
      <c r="BB115">
        <v>7.65</v>
      </c>
      <c r="BC115">
        <v>14.4</v>
      </c>
      <c r="BD115">
        <v>94.2</v>
      </c>
      <c r="BE115">
        <v>78.2</v>
      </c>
      <c r="BF115">
        <v>16.899999999999999</v>
      </c>
      <c r="BG115">
        <v>12.6</v>
      </c>
      <c r="BH115">
        <v>519046.8</v>
      </c>
      <c r="BI115">
        <v>8.1199999999999992</v>
      </c>
      <c r="BJ115">
        <v>19.8</v>
      </c>
      <c r="BK115">
        <v>159.80000000000001</v>
      </c>
      <c r="BL115">
        <v>56.4</v>
      </c>
      <c r="BM115">
        <v>17.7</v>
      </c>
      <c r="BN115">
        <v>41.4</v>
      </c>
      <c r="BO115">
        <v>591978.80000000005</v>
      </c>
      <c r="BP115">
        <v>8.86</v>
      </c>
      <c r="BQ115">
        <v>21.9</v>
      </c>
      <c r="BR115">
        <v>166.4</v>
      </c>
      <c r="BS115">
        <v>65.2</v>
      </c>
      <c r="BT115">
        <v>19.899999999999999</v>
      </c>
      <c r="BU115">
        <v>16.8</v>
      </c>
      <c r="BV115">
        <v>821195.4</v>
      </c>
      <c r="BW115">
        <v>10.039999999999999</v>
      </c>
      <c r="BX115">
        <v>26.6</v>
      </c>
      <c r="BY115">
        <v>244.2</v>
      </c>
      <c r="BZ115">
        <v>58</v>
      </c>
      <c r="CA115">
        <v>21.3</v>
      </c>
      <c r="CB115">
        <v>26</v>
      </c>
      <c r="CC115">
        <v>891785.7</v>
      </c>
      <c r="CD115">
        <v>13.37</v>
      </c>
      <c r="CE115">
        <v>28.9</v>
      </c>
      <c r="CF115">
        <v>281.8</v>
      </c>
      <c r="CG115">
        <v>54.5</v>
      </c>
      <c r="CH115">
        <v>24.9</v>
      </c>
      <c r="CI115">
        <v>0</v>
      </c>
      <c r="CJ115">
        <v>1021124.3</v>
      </c>
      <c r="CK115">
        <v>16.62</v>
      </c>
      <c r="CL115">
        <v>32.700000000000003</v>
      </c>
      <c r="CM115">
        <v>367.4</v>
      </c>
      <c r="CN115">
        <v>44</v>
      </c>
      <c r="CP115" s="3">
        <v>283.32452813333333</v>
      </c>
      <c r="CQ115" s="3">
        <v>368.2939243092531</v>
      </c>
      <c r="CR115" s="3">
        <v>330.59328943508331</v>
      </c>
      <c r="CS115" s="3">
        <v>279.4513129062604</v>
      </c>
      <c r="CT115" s="3">
        <v>325.40383910199995</v>
      </c>
      <c r="CU115" s="7">
        <v>0.06</v>
      </c>
      <c r="CV115" s="7">
        <v>0.14000000000000001</v>
      </c>
      <c r="CW115" s="7">
        <v>7.0000000000000007E-2</v>
      </c>
      <c r="CX115" s="7">
        <v>0.04</v>
      </c>
      <c r="CY115" s="3">
        <f t="shared" si="6"/>
        <v>100.95844144698508</v>
      </c>
      <c r="CZ115">
        <v>2476</v>
      </c>
      <c r="DA115">
        <v>1792</v>
      </c>
      <c r="DB115">
        <v>885690</v>
      </c>
      <c r="DC115">
        <v>2342</v>
      </c>
      <c r="DE115" t="s">
        <v>147</v>
      </c>
      <c r="DK115" s="5">
        <v>5222.359859801385</v>
      </c>
      <c r="DM115" s="5">
        <v>2365.5037568594344</v>
      </c>
    </row>
    <row r="116" spans="1:117" x14ac:dyDescent="0.25">
      <c r="A116" t="s">
        <v>110</v>
      </c>
      <c r="B116" t="s">
        <v>128</v>
      </c>
      <c r="C116">
        <v>115.44614199999999</v>
      </c>
      <c r="D116">
        <v>-28.588141</v>
      </c>
      <c r="E116">
        <v>2015</v>
      </c>
      <c r="F116" t="s">
        <v>128</v>
      </c>
      <c r="G116" t="s">
        <v>141</v>
      </c>
      <c r="H116" t="s">
        <v>144</v>
      </c>
      <c r="I116">
        <v>29.5</v>
      </c>
      <c r="J116">
        <v>0.6</v>
      </c>
      <c r="K116">
        <v>964287.1</v>
      </c>
      <c r="L116">
        <v>15.69</v>
      </c>
      <c r="M116">
        <v>37.6</v>
      </c>
      <c r="N116">
        <v>390.7</v>
      </c>
      <c r="O116">
        <v>34.4</v>
      </c>
      <c r="P116">
        <v>29.3</v>
      </c>
      <c r="Q116">
        <v>6.8</v>
      </c>
      <c r="R116">
        <v>727753.4</v>
      </c>
      <c r="S116">
        <v>14.76</v>
      </c>
      <c r="T116">
        <v>35.9</v>
      </c>
      <c r="U116">
        <v>288.3</v>
      </c>
      <c r="V116">
        <v>43.5</v>
      </c>
      <c r="W116">
        <v>24.2</v>
      </c>
      <c r="X116">
        <v>170.8</v>
      </c>
      <c r="Y116">
        <v>655917.30000000005</v>
      </c>
      <c r="Z116">
        <v>13.41</v>
      </c>
      <c r="AA116">
        <v>27.9</v>
      </c>
      <c r="AB116">
        <v>222.7</v>
      </c>
      <c r="AC116">
        <v>59.4</v>
      </c>
      <c r="AD116">
        <v>20.9</v>
      </c>
      <c r="AE116">
        <v>97.6</v>
      </c>
      <c r="AF116">
        <v>503358.3</v>
      </c>
      <c r="AG116">
        <v>13.19</v>
      </c>
      <c r="AH116">
        <v>22.9</v>
      </c>
      <c r="AI116">
        <v>174.8</v>
      </c>
      <c r="AJ116">
        <v>58.1</v>
      </c>
      <c r="AK116">
        <v>16.399999999999999</v>
      </c>
      <c r="AL116">
        <v>31.6</v>
      </c>
      <c r="AM116">
        <v>475725.2</v>
      </c>
      <c r="AN116">
        <v>11.35</v>
      </c>
      <c r="AO116">
        <v>18.600000000000001</v>
      </c>
      <c r="AP116">
        <v>153.69999999999999</v>
      </c>
      <c r="AQ116">
        <v>56.7</v>
      </c>
      <c r="AR116">
        <v>15.3</v>
      </c>
      <c r="AS116">
        <v>89</v>
      </c>
      <c r="AT116">
        <v>366361</v>
      </c>
      <c r="AU116">
        <v>10.89</v>
      </c>
      <c r="AV116">
        <v>16.600000000000001</v>
      </c>
      <c r="AW116">
        <v>107.5</v>
      </c>
      <c r="AX116">
        <v>68.2</v>
      </c>
      <c r="AY116">
        <v>13.4</v>
      </c>
      <c r="AZ116">
        <v>113.8</v>
      </c>
      <c r="BA116">
        <v>381402.1</v>
      </c>
      <c r="BB116">
        <v>8.3000000000000007</v>
      </c>
      <c r="BC116">
        <v>15.2</v>
      </c>
      <c r="BD116">
        <v>96.6</v>
      </c>
      <c r="BE116">
        <v>72.400000000000006</v>
      </c>
      <c r="BF116">
        <v>13.5</v>
      </c>
      <c r="BG116">
        <v>64.2</v>
      </c>
      <c r="BH116">
        <v>488885.4</v>
      </c>
      <c r="BI116">
        <v>8.02</v>
      </c>
      <c r="BJ116">
        <v>15.7</v>
      </c>
      <c r="BK116">
        <v>110.7</v>
      </c>
      <c r="BL116">
        <v>76.3</v>
      </c>
      <c r="BM116">
        <v>16.8</v>
      </c>
      <c r="BN116">
        <v>5.8</v>
      </c>
      <c r="BO116">
        <v>693090.7</v>
      </c>
      <c r="BP116">
        <v>7.83</v>
      </c>
      <c r="BQ116">
        <v>22</v>
      </c>
      <c r="BR116">
        <v>202.1</v>
      </c>
      <c r="BS116">
        <v>52</v>
      </c>
      <c r="BT116">
        <v>21.2</v>
      </c>
      <c r="BU116">
        <v>0</v>
      </c>
      <c r="BV116">
        <v>747431.6</v>
      </c>
      <c r="BW116">
        <v>7.86</v>
      </c>
      <c r="BX116">
        <v>29.5</v>
      </c>
      <c r="BY116">
        <v>230.6</v>
      </c>
      <c r="BZ116">
        <v>50.9</v>
      </c>
      <c r="CA116">
        <v>23.9</v>
      </c>
      <c r="CB116">
        <v>15.8</v>
      </c>
      <c r="CC116">
        <v>854683</v>
      </c>
      <c r="CD116">
        <v>10.26</v>
      </c>
      <c r="CE116">
        <v>32.700000000000003</v>
      </c>
      <c r="CF116">
        <v>288</v>
      </c>
      <c r="CG116">
        <v>40.5</v>
      </c>
      <c r="CH116">
        <v>25</v>
      </c>
      <c r="CI116">
        <v>2.6</v>
      </c>
      <c r="CJ116">
        <v>959879.6</v>
      </c>
      <c r="CK116">
        <v>14.22</v>
      </c>
      <c r="CL116">
        <v>34.6</v>
      </c>
      <c r="CM116">
        <v>338</v>
      </c>
      <c r="CN116">
        <v>44.7</v>
      </c>
      <c r="CP116" s="3">
        <v>204.8839893083333</v>
      </c>
      <c r="CQ116" s="3">
        <v>357.71587473362189</v>
      </c>
      <c r="CR116" s="3">
        <v>322.98543302087501</v>
      </c>
      <c r="CS116" s="3">
        <v>251.33925340010413</v>
      </c>
      <c r="CT116" s="3">
        <v>238.07175714163543</v>
      </c>
      <c r="CU116" s="7">
        <v>0.06</v>
      </c>
      <c r="CV116" s="7">
        <v>0.14000000000000001</v>
      </c>
      <c r="CW116" s="7">
        <v>7.0000000000000007E-2</v>
      </c>
      <c r="CX116" s="7">
        <v>0.04</v>
      </c>
      <c r="CY116" s="3">
        <f t="shared" si="6"/>
        <v>93.797531130612526</v>
      </c>
      <c r="CZ116">
        <v>2505</v>
      </c>
      <c r="DA116">
        <v>2062</v>
      </c>
      <c r="DB116">
        <v>1031750</v>
      </c>
      <c r="DC116">
        <v>2372</v>
      </c>
      <c r="DE116" t="s">
        <v>147</v>
      </c>
      <c r="DK116" s="5">
        <v>5283.52643328048</v>
      </c>
      <c r="DM116" s="5">
        <v>2721.9133630826755</v>
      </c>
    </row>
    <row r="117" spans="1:117" x14ac:dyDescent="0.25">
      <c r="A117" t="s">
        <v>110</v>
      </c>
      <c r="B117" t="s">
        <v>128</v>
      </c>
      <c r="C117">
        <v>115.44614199999999</v>
      </c>
      <c r="D117">
        <v>-28.588141</v>
      </c>
      <c r="E117">
        <v>2016</v>
      </c>
      <c r="F117" t="s">
        <v>128</v>
      </c>
      <c r="G117" t="s">
        <v>141</v>
      </c>
      <c r="H117" t="s">
        <v>144</v>
      </c>
      <c r="I117">
        <v>25.8</v>
      </c>
      <c r="J117">
        <v>33.4</v>
      </c>
      <c r="K117">
        <v>620850.1</v>
      </c>
      <c r="L117">
        <v>12.07</v>
      </c>
      <c r="M117">
        <v>34.4</v>
      </c>
      <c r="N117">
        <v>144.30000000000001</v>
      </c>
      <c r="O117">
        <v>41.5</v>
      </c>
      <c r="P117">
        <v>27.6</v>
      </c>
      <c r="Q117">
        <v>0.6</v>
      </c>
      <c r="R117">
        <v>863655.3</v>
      </c>
      <c r="S117">
        <v>13.5</v>
      </c>
      <c r="T117">
        <v>36.4</v>
      </c>
      <c r="U117">
        <v>324.39999999999998</v>
      </c>
      <c r="V117">
        <v>39.299999999999997</v>
      </c>
      <c r="W117">
        <v>25.9</v>
      </c>
      <c r="X117">
        <v>3</v>
      </c>
      <c r="Y117">
        <v>713628</v>
      </c>
      <c r="Z117">
        <v>11.03</v>
      </c>
      <c r="AA117">
        <v>33.4</v>
      </c>
      <c r="AB117">
        <v>249.8</v>
      </c>
      <c r="AC117">
        <v>51.4</v>
      </c>
      <c r="AD117">
        <v>21.5</v>
      </c>
      <c r="AE117">
        <v>48</v>
      </c>
      <c r="AF117">
        <v>495540.8</v>
      </c>
      <c r="AG117">
        <v>9.18</v>
      </c>
      <c r="AH117">
        <v>25.5</v>
      </c>
      <c r="AI117">
        <v>163.6</v>
      </c>
      <c r="AJ117">
        <v>60.5</v>
      </c>
      <c r="AK117">
        <v>15.7</v>
      </c>
      <c r="AL117">
        <v>50.2</v>
      </c>
      <c r="AM117">
        <v>445344.4</v>
      </c>
      <c r="AN117">
        <v>7.08</v>
      </c>
      <c r="AO117">
        <v>19</v>
      </c>
      <c r="AP117">
        <v>118.3</v>
      </c>
      <c r="AQ117">
        <v>64.8</v>
      </c>
      <c r="AR117">
        <v>12.6</v>
      </c>
      <c r="AS117">
        <v>131.80000000000001</v>
      </c>
      <c r="AT117">
        <v>339174.7</v>
      </c>
      <c r="AU117">
        <v>6.9</v>
      </c>
      <c r="AV117">
        <v>14.2</v>
      </c>
      <c r="AW117">
        <v>75.2</v>
      </c>
      <c r="AX117">
        <v>78.5</v>
      </c>
      <c r="AY117">
        <v>11.7</v>
      </c>
      <c r="AZ117">
        <v>72.8</v>
      </c>
      <c r="BA117">
        <v>388650.4</v>
      </c>
      <c r="BB117">
        <v>7.34</v>
      </c>
      <c r="BC117">
        <v>13.8</v>
      </c>
      <c r="BD117">
        <v>80.5</v>
      </c>
      <c r="BE117">
        <v>78.3</v>
      </c>
      <c r="BF117">
        <v>11.6</v>
      </c>
      <c r="BG117">
        <v>41</v>
      </c>
      <c r="BH117">
        <v>493851.1</v>
      </c>
      <c r="BI117">
        <v>6.6</v>
      </c>
      <c r="BJ117">
        <v>15.1</v>
      </c>
      <c r="BK117">
        <v>109.5</v>
      </c>
      <c r="BL117">
        <v>74.5</v>
      </c>
      <c r="BM117">
        <v>12.8</v>
      </c>
      <c r="BN117">
        <v>10.8</v>
      </c>
      <c r="BO117">
        <v>669893.6</v>
      </c>
      <c r="BP117">
        <v>7.41</v>
      </c>
      <c r="BQ117">
        <v>19.2</v>
      </c>
      <c r="BR117">
        <v>162.80000000000001</v>
      </c>
      <c r="BS117">
        <v>63.7</v>
      </c>
      <c r="BT117">
        <v>17.8</v>
      </c>
      <c r="BU117">
        <v>3.6</v>
      </c>
      <c r="BV117">
        <v>837545.9</v>
      </c>
      <c r="BW117">
        <v>9.77</v>
      </c>
      <c r="BX117">
        <v>25.7</v>
      </c>
      <c r="BY117">
        <v>248.4</v>
      </c>
      <c r="BZ117">
        <v>51.3</v>
      </c>
      <c r="CA117">
        <v>22.7</v>
      </c>
      <c r="CB117">
        <v>11.8</v>
      </c>
      <c r="CC117">
        <v>937362.4</v>
      </c>
      <c r="CD117">
        <v>12.83</v>
      </c>
      <c r="CE117">
        <v>31</v>
      </c>
      <c r="CF117">
        <v>315.10000000000002</v>
      </c>
      <c r="CG117">
        <v>43.3</v>
      </c>
      <c r="CH117">
        <v>24.5</v>
      </c>
      <c r="CI117">
        <v>1.4</v>
      </c>
      <c r="CJ117">
        <v>1023667.8</v>
      </c>
      <c r="CK117">
        <v>13.72</v>
      </c>
      <c r="CL117">
        <v>33.6</v>
      </c>
      <c r="CM117">
        <v>353.2</v>
      </c>
      <c r="CN117">
        <v>42.9</v>
      </c>
      <c r="CP117" s="3">
        <v>133.12695639999998</v>
      </c>
      <c r="CQ117" s="3">
        <v>265.94031967119787</v>
      </c>
      <c r="CR117" s="3">
        <v>244.36784107392498</v>
      </c>
      <c r="CS117" s="3">
        <v>168.48709864302083</v>
      </c>
      <c r="CT117" s="3">
        <v>219.627445633875</v>
      </c>
      <c r="CU117" s="7">
        <v>0.06</v>
      </c>
      <c r="CV117" s="7">
        <v>0.14000000000000001</v>
      </c>
      <c r="CW117" s="7">
        <v>7.0000000000000007E-2</v>
      </c>
      <c r="CX117" s="7">
        <v>0.04</v>
      </c>
      <c r="CY117" s="3">
        <f t="shared" si="6"/>
        <v>70.747111660987827</v>
      </c>
      <c r="CZ117">
        <v>2387</v>
      </c>
      <c r="DA117">
        <v>1552</v>
      </c>
      <c r="DB117">
        <v>722700</v>
      </c>
      <c r="DC117">
        <v>2010</v>
      </c>
      <c r="DE117" t="s">
        <v>147</v>
      </c>
      <c r="DK117" s="5">
        <v>5034.6417549862299</v>
      </c>
      <c r="DM117" s="5">
        <v>2048.6952179943319</v>
      </c>
    </row>
    <row r="118" spans="1:117" x14ac:dyDescent="0.25">
      <c r="A118" t="s">
        <v>110</v>
      </c>
      <c r="B118" t="s">
        <v>128</v>
      </c>
      <c r="C118">
        <v>115.44614199999999</v>
      </c>
      <c r="D118">
        <v>-28.588141</v>
      </c>
      <c r="E118">
        <v>2017</v>
      </c>
      <c r="F118" t="s">
        <v>128</v>
      </c>
      <c r="G118" t="s">
        <v>141</v>
      </c>
      <c r="H118" t="s">
        <v>144</v>
      </c>
      <c r="I118">
        <v>27.7</v>
      </c>
      <c r="J118">
        <v>73.8</v>
      </c>
      <c r="K118">
        <v>933996.4</v>
      </c>
      <c r="L118">
        <v>12.84</v>
      </c>
      <c r="M118">
        <v>35.4</v>
      </c>
      <c r="N118">
        <v>345</v>
      </c>
      <c r="O118">
        <v>40.799999999999997</v>
      </c>
      <c r="P118">
        <v>27.3</v>
      </c>
      <c r="Q118">
        <v>112</v>
      </c>
      <c r="R118">
        <v>716353.4</v>
      </c>
      <c r="S118">
        <v>11.52</v>
      </c>
      <c r="T118">
        <v>33.6</v>
      </c>
      <c r="U118">
        <v>234.2</v>
      </c>
      <c r="V118">
        <v>57</v>
      </c>
      <c r="W118">
        <v>24.9</v>
      </c>
      <c r="X118">
        <v>5.4</v>
      </c>
      <c r="Y118">
        <v>750673.7</v>
      </c>
      <c r="Z118">
        <v>10.41</v>
      </c>
      <c r="AA118">
        <v>31.9</v>
      </c>
      <c r="AB118">
        <v>257.2</v>
      </c>
      <c r="AC118">
        <v>49</v>
      </c>
      <c r="AD118">
        <v>22.2</v>
      </c>
      <c r="AE118">
        <v>0.2</v>
      </c>
      <c r="AF118">
        <v>593700.6</v>
      </c>
      <c r="AG118">
        <v>9.02</v>
      </c>
      <c r="AH118">
        <v>27.9</v>
      </c>
      <c r="AI118">
        <v>211.6</v>
      </c>
      <c r="AJ118">
        <v>43.1</v>
      </c>
      <c r="AK118">
        <v>17.399999999999999</v>
      </c>
      <c r="AL118">
        <v>9.4</v>
      </c>
      <c r="AM118">
        <v>473524.6</v>
      </c>
      <c r="AN118">
        <v>7.53</v>
      </c>
      <c r="AO118">
        <v>21.1</v>
      </c>
      <c r="AP118">
        <v>148.6</v>
      </c>
      <c r="AQ118">
        <v>55</v>
      </c>
      <c r="AR118">
        <v>15.3</v>
      </c>
      <c r="AS118">
        <v>5.6</v>
      </c>
      <c r="AT118">
        <v>398887.5</v>
      </c>
      <c r="AU118">
        <v>9.07</v>
      </c>
      <c r="AV118">
        <v>17.600000000000001</v>
      </c>
      <c r="AW118">
        <v>134.9</v>
      </c>
      <c r="AX118">
        <v>49.4</v>
      </c>
      <c r="AY118">
        <v>12.6</v>
      </c>
      <c r="AZ118">
        <v>30.4</v>
      </c>
      <c r="BA118">
        <v>382018.7</v>
      </c>
      <c r="BB118">
        <v>7.6</v>
      </c>
      <c r="BC118">
        <v>15</v>
      </c>
      <c r="BD118">
        <v>90</v>
      </c>
      <c r="BE118">
        <v>75.400000000000006</v>
      </c>
      <c r="BF118">
        <v>12.9</v>
      </c>
      <c r="BG118">
        <v>104</v>
      </c>
      <c r="BH118">
        <v>499763.9</v>
      </c>
      <c r="BI118">
        <v>6.92</v>
      </c>
      <c r="BJ118">
        <v>16.2</v>
      </c>
      <c r="BK118">
        <v>110.8</v>
      </c>
      <c r="BL118">
        <v>74.7</v>
      </c>
      <c r="BM118">
        <v>15.4</v>
      </c>
      <c r="BN118">
        <v>25.8</v>
      </c>
      <c r="BO118">
        <v>573096.1</v>
      </c>
      <c r="BP118">
        <v>7.21</v>
      </c>
      <c r="BQ118">
        <v>20.5</v>
      </c>
      <c r="BR118">
        <v>138.80000000000001</v>
      </c>
      <c r="BS118">
        <v>67.599999999999994</v>
      </c>
      <c r="BT118">
        <v>19</v>
      </c>
      <c r="BU118">
        <v>2.6</v>
      </c>
      <c r="BV118">
        <v>822320.5</v>
      </c>
      <c r="BW118">
        <v>9.0500000000000007</v>
      </c>
      <c r="BX118">
        <v>27.1</v>
      </c>
      <c r="BY118">
        <v>240.5</v>
      </c>
      <c r="BZ118">
        <v>52.1</v>
      </c>
      <c r="CA118">
        <v>23.9</v>
      </c>
      <c r="CB118">
        <v>12.2</v>
      </c>
      <c r="CC118">
        <v>889240</v>
      </c>
      <c r="CD118">
        <v>12.1</v>
      </c>
      <c r="CE118">
        <v>32.4</v>
      </c>
      <c r="CF118">
        <v>297.89999999999998</v>
      </c>
      <c r="CG118">
        <v>47.1</v>
      </c>
      <c r="CH118">
        <v>25.9</v>
      </c>
      <c r="CI118">
        <v>26.8</v>
      </c>
      <c r="CJ118">
        <v>939743.5</v>
      </c>
      <c r="CK118">
        <v>13.54</v>
      </c>
      <c r="CL118">
        <v>33.6</v>
      </c>
      <c r="CM118">
        <v>330</v>
      </c>
      <c r="CN118">
        <v>43.7</v>
      </c>
      <c r="CP118" s="3">
        <v>119.07146077499999</v>
      </c>
      <c r="CQ118" s="3">
        <v>235.14453102913441</v>
      </c>
      <c r="CR118" s="3">
        <v>211.74875985799997</v>
      </c>
      <c r="CS118" s="3">
        <v>150.26687985202918</v>
      </c>
      <c r="CT118" s="3">
        <v>166.58352970400003</v>
      </c>
      <c r="CU118" s="7">
        <v>0.06</v>
      </c>
      <c r="CV118" s="7">
        <v>0.14000000000000001</v>
      </c>
      <c r="CW118" s="7">
        <v>7.0000000000000007E-2</v>
      </c>
      <c r="CX118" s="7">
        <v>0.04</v>
      </c>
      <c r="CY118" s="3">
        <f t="shared" si="6"/>
        <v>60.935521019670105</v>
      </c>
      <c r="CZ118">
        <v>2361</v>
      </c>
      <c r="DA118">
        <v>1647</v>
      </c>
      <c r="DB118">
        <v>796380</v>
      </c>
      <c r="DC118">
        <v>2368</v>
      </c>
      <c r="DE118" t="s">
        <v>147</v>
      </c>
      <c r="DK118" s="5">
        <v>4979.8027580739381</v>
      </c>
      <c r="DM118" s="5">
        <v>2174.0985979617681</v>
      </c>
    </row>
    <row r="119" spans="1:117" x14ac:dyDescent="0.25">
      <c r="A119" t="s">
        <v>110</v>
      </c>
      <c r="B119" t="s">
        <v>128</v>
      </c>
      <c r="C119">
        <v>115.44614199999999</v>
      </c>
      <c r="D119">
        <v>-28.588141</v>
      </c>
      <c r="E119">
        <v>2018</v>
      </c>
      <c r="F119" t="s">
        <v>128</v>
      </c>
      <c r="G119" t="s">
        <v>141</v>
      </c>
      <c r="H119" t="s">
        <v>144</v>
      </c>
      <c r="I119">
        <v>27.5</v>
      </c>
      <c r="J119">
        <v>73</v>
      </c>
      <c r="K119">
        <v>933886</v>
      </c>
      <c r="L119">
        <v>14.2</v>
      </c>
      <c r="M119">
        <v>35.700000000000003</v>
      </c>
      <c r="N119">
        <v>337.3</v>
      </c>
      <c r="O119">
        <v>46.4</v>
      </c>
      <c r="P119">
        <v>26.1</v>
      </c>
      <c r="Q119">
        <v>20.8</v>
      </c>
      <c r="R119">
        <v>796366.1</v>
      </c>
      <c r="S119">
        <v>12.32</v>
      </c>
      <c r="T119">
        <v>35.299999999999997</v>
      </c>
      <c r="U119">
        <v>272.89999999999998</v>
      </c>
      <c r="V119">
        <v>50.5</v>
      </c>
      <c r="W119">
        <v>27.5</v>
      </c>
      <c r="X119">
        <v>4.8</v>
      </c>
      <c r="Y119">
        <v>743460.7</v>
      </c>
      <c r="Z119">
        <v>12.83</v>
      </c>
      <c r="AA119">
        <v>34.299999999999997</v>
      </c>
      <c r="AB119">
        <v>287.60000000000002</v>
      </c>
      <c r="AC119">
        <v>43.6</v>
      </c>
      <c r="AD119">
        <v>21.4</v>
      </c>
      <c r="AE119">
        <v>10.6</v>
      </c>
      <c r="AF119">
        <v>591805.4</v>
      </c>
      <c r="AG119">
        <v>8.6</v>
      </c>
      <c r="AH119">
        <v>27.4</v>
      </c>
      <c r="AI119">
        <v>191.7</v>
      </c>
      <c r="AJ119">
        <v>52.8</v>
      </c>
      <c r="AK119">
        <v>18.5</v>
      </c>
      <c r="AL119">
        <v>44.2</v>
      </c>
      <c r="AM119">
        <v>468441.2</v>
      </c>
      <c r="AN119">
        <v>10.89</v>
      </c>
      <c r="AO119">
        <v>21.3</v>
      </c>
      <c r="AP119">
        <v>177.4</v>
      </c>
      <c r="AQ119">
        <v>42.2</v>
      </c>
      <c r="AR119">
        <v>14.1</v>
      </c>
      <c r="AS119">
        <v>38</v>
      </c>
      <c r="AT119">
        <v>364583.3</v>
      </c>
      <c r="AU119">
        <v>7.42</v>
      </c>
      <c r="AV119">
        <v>15.7</v>
      </c>
      <c r="AW119">
        <v>91.7</v>
      </c>
      <c r="AX119">
        <v>68</v>
      </c>
      <c r="AY119">
        <v>13</v>
      </c>
      <c r="AZ119">
        <v>86.8</v>
      </c>
      <c r="BA119">
        <v>385965.9</v>
      </c>
      <c r="BB119">
        <v>7.06</v>
      </c>
      <c r="BC119">
        <v>15.1</v>
      </c>
      <c r="BD119">
        <v>84.2</v>
      </c>
      <c r="BE119">
        <v>81.3</v>
      </c>
      <c r="BF119">
        <v>11.7</v>
      </c>
      <c r="BG119">
        <v>56</v>
      </c>
      <c r="BH119">
        <v>497477.4</v>
      </c>
      <c r="BI119">
        <v>7.01</v>
      </c>
      <c r="BJ119">
        <v>15.3</v>
      </c>
      <c r="BK119">
        <v>109.1</v>
      </c>
      <c r="BL119">
        <v>78.8</v>
      </c>
      <c r="BM119">
        <v>14.9</v>
      </c>
      <c r="BN119">
        <v>6.6</v>
      </c>
      <c r="BO119">
        <v>680199.3</v>
      </c>
      <c r="BP119">
        <v>6.89</v>
      </c>
      <c r="BQ119">
        <v>21.7</v>
      </c>
      <c r="BR119">
        <v>178</v>
      </c>
      <c r="BS119">
        <v>62.1</v>
      </c>
      <c r="BT119">
        <v>18.8</v>
      </c>
      <c r="BU119">
        <v>12.8</v>
      </c>
      <c r="BV119">
        <v>792381.7</v>
      </c>
      <c r="BW119">
        <v>8.7100000000000009</v>
      </c>
      <c r="BX119">
        <v>26.7</v>
      </c>
      <c r="BY119">
        <v>221.8</v>
      </c>
      <c r="BZ119">
        <v>62</v>
      </c>
      <c r="CA119">
        <v>20.6</v>
      </c>
      <c r="CB119">
        <v>8.1999999999999993</v>
      </c>
      <c r="CC119">
        <v>883225.9</v>
      </c>
      <c r="CD119">
        <v>12.27</v>
      </c>
      <c r="CE119">
        <v>29.2</v>
      </c>
      <c r="CF119">
        <v>273.60000000000002</v>
      </c>
      <c r="CG119">
        <v>49.6</v>
      </c>
      <c r="CH119">
        <v>24.4</v>
      </c>
      <c r="CI119">
        <v>5.4</v>
      </c>
      <c r="CJ119">
        <v>913628.2</v>
      </c>
      <c r="CK119">
        <v>12.92</v>
      </c>
      <c r="CL119">
        <v>32.9</v>
      </c>
      <c r="CM119">
        <v>312.7</v>
      </c>
      <c r="CN119">
        <v>46.5</v>
      </c>
      <c r="CP119" s="3">
        <v>149.45420497500001</v>
      </c>
      <c r="CQ119" s="3">
        <v>274.57347051901041</v>
      </c>
      <c r="CR119" s="3">
        <v>237.4236465424917</v>
      </c>
      <c r="CS119" s="3">
        <v>174.41377918435418</v>
      </c>
      <c r="CT119" s="3">
        <v>166.56083829114584</v>
      </c>
      <c r="CU119" s="7">
        <v>0.06</v>
      </c>
      <c r="CV119" s="7">
        <v>0.14000000000000001</v>
      </c>
      <c r="CW119" s="7">
        <v>7.0000000000000007E-2</v>
      </c>
      <c r="CX119" s="7">
        <v>0.04</v>
      </c>
      <c r="CY119" s="3">
        <f t="shared" si="6"/>
        <v>68.585116821640085</v>
      </c>
      <c r="CZ119">
        <v>1848</v>
      </c>
      <c r="DA119">
        <v>1507</v>
      </c>
      <c r="DB119">
        <v>721140</v>
      </c>
      <c r="DC119">
        <v>1837</v>
      </c>
      <c r="DE119" t="s">
        <v>147</v>
      </c>
      <c r="DK119" s="5">
        <v>3897.7871651506298</v>
      </c>
      <c r="DM119" s="5">
        <v>1989.2936169571249</v>
      </c>
    </row>
    <row r="120" spans="1:117" x14ac:dyDescent="0.25">
      <c r="A120" t="s">
        <v>110</v>
      </c>
      <c r="B120" t="s">
        <v>128</v>
      </c>
      <c r="C120">
        <v>115.44614199999999</v>
      </c>
      <c r="D120">
        <v>-28.588141</v>
      </c>
      <c r="E120">
        <v>2019</v>
      </c>
      <c r="F120" t="s">
        <v>128</v>
      </c>
      <c r="G120" t="s">
        <v>141</v>
      </c>
      <c r="H120" t="s">
        <v>144</v>
      </c>
      <c r="I120">
        <v>26.2</v>
      </c>
      <c r="J120">
        <v>0.6</v>
      </c>
      <c r="K120">
        <v>988377.4</v>
      </c>
      <c r="L120">
        <v>13.33</v>
      </c>
      <c r="M120">
        <v>35.5</v>
      </c>
      <c r="N120">
        <v>350.5</v>
      </c>
      <c r="O120">
        <v>42.4</v>
      </c>
      <c r="P120">
        <v>26.8</v>
      </c>
      <c r="Q120">
        <v>0</v>
      </c>
      <c r="R120">
        <v>834476.3</v>
      </c>
      <c r="S120">
        <v>12.17</v>
      </c>
      <c r="T120">
        <v>36.6</v>
      </c>
      <c r="U120">
        <v>306.8</v>
      </c>
      <c r="V120">
        <v>43.7</v>
      </c>
      <c r="W120">
        <v>26.6</v>
      </c>
      <c r="X120">
        <v>0.2</v>
      </c>
      <c r="Y120">
        <v>659641.1</v>
      </c>
      <c r="Z120">
        <v>10.81</v>
      </c>
      <c r="AA120">
        <v>33.5</v>
      </c>
      <c r="AB120">
        <v>254.2</v>
      </c>
      <c r="AC120">
        <v>43.7</v>
      </c>
      <c r="AD120">
        <v>21.1</v>
      </c>
      <c r="AE120">
        <v>7.8</v>
      </c>
      <c r="AF120">
        <v>560182</v>
      </c>
      <c r="AG120">
        <v>9.84</v>
      </c>
      <c r="AH120">
        <v>26.3</v>
      </c>
      <c r="AI120">
        <v>197.1</v>
      </c>
      <c r="AJ120">
        <v>47</v>
      </c>
      <c r="AK120">
        <v>17.3</v>
      </c>
      <c r="AL120">
        <v>0</v>
      </c>
      <c r="AM120">
        <v>476659.20000000001</v>
      </c>
      <c r="AN120">
        <v>9.1199999999999992</v>
      </c>
      <c r="AO120">
        <v>20.9</v>
      </c>
      <c r="AP120">
        <v>165.1</v>
      </c>
      <c r="AQ120">
        <v>44.4</v>
      </c>
      <c r="AR120">
        <v>14.2</v>
      </c>
      <c r="AS120">
        <v>93.6</v>
      </c>
      <c r="AT120">
        <v>364304.8</v>
      </c>
      <c r="AU120">
        <v>10.210000000000001</v>
      </c>
      <c r="AV120">
        <v>15.4</v>
      </c>
      <c r="AW120">
        <v>110.4</v>
      </c>
      <c r="AX120">
        <v>63.7</v>
      </c>
      <c r="AY120">
        <v>13</v>
      </c>
      <c r="AZ120">
        <v>23</v>
      </c>
      <c r="BA120">
        <v>450570.2</v>
      </c>
      <c r="BB120">
        <v>7.01</v>
      </c>
      <c r="BC120">
        <v>14.9</v>
      </c>
      <c r="BD120">
        <v>110.9</v>
      </c>
      <c r="BE120">
        <v>68.8</v>
      </c>
      <c r="BF120">
        <v>14.4</v>
      </c>
      <c r="BG120">
        <v>14.6</v>
      </c>
      <c r="BH120">
        <v>537960</v>
      </c>
      <c r="BI120">
        <v>9.2100000000000009</v>
      </c>
      <c r="BJ120">
        <v>17.600000000000001</v>
      </c>
      <c r="BK120">
        <v>156.19999999999999</v>
      </c>
      <c r="BL120">
        <v>59</v>
      </c>
      <c r="BM120">
        <v>17.2</v>
      </c>
      <c r="BN120">
        <v>5.8</v>
      </c>
      <c r="BO120">
        <v>694420.5</v>
      </c>
      <c r="BP120">
        <v>7.55</v>
      </c>
      <c r="BQ120">
        <v>23.2</v>
      </c>
      <c r="BR120">
        <v>196.5</v>
      </c>
      <c r="BS120">
        <v>54.9</v>
      </c>
      <c r="BT120">
        <v>19.899999999999999</v>
      </c>
      <c r="BU120">
        <v>9</v>
      </c>
      <c r="BV120">
        <v>866433.7</v>
      </c>
      <c r="BW120">
        <v>9.9600000000000009</v>
      </c>
      <c r="BX120">
        <v>28.1</v>
      </c>
      <c r="BY120">
        <v>264.39999999999998</v>
      </c>
      <c r="BZ120">
        <v>51.8</v>
      </c>
      <c r="CA120">
        <v>25.3</v>
      </c>
      <c r="CB120">
        <v>2.6</v>
      </c>
      <c r="CC120">
        <v>922977.7</v>
      </c>
      <c r="CD120">
        <v>12.61</v>
      </c>
      <c r="CE120">
        <v>32.9</v>
      </c>
      <c r="CF120">
        <v>335.4</v>
      </c>
      <c r="CG120">
        <v>35.9</v>
      </c>
      <c r="CH120">
        <v>27.3</v>
      </c>
      <c r="CI120">
        <v>0.4</v>
      </c>
      <c r="CJ120">
        <v>996633</v>
      </c>
      <c r="CK120">
        <v>12.14</v>
      </c>
      <c r="CL120">
        <v>36.4</v>
      </c>
      <c r="CM120">
        <v>360.5</v>
      </c>
      <c r="CN120">
        <v>39.6</v>
      </c>
      <c r="CP120" s="3">
        <v>151.20769046666666</v>
      </c>
      <c r="CQ120" s="3">
        <v>267.33967790703502</v>
      </c>
      <c r="CR120" s="3">
        <v>246.94953969827165</v>
      </c>
      <c r="CS120" s="3">
        <v>186.82042264949916</v>
      </c>
      <c r="CT120" s="3">
        <v>164.67061180174997</v>
      </c>
      <c r="CU120" s="7">
        <v>0.06</v>
      </c>
      <c r="CV120" s="7">
        <v>0.14000000000000001</v>
      </c>
      <c r="CW120" s="7">
        <v>7.0000000000000007E-2</v>
      </c>
      <c r="CX120" s="7">
        <v>0.04</v>
      </c>
      <c r="CY120" s="3">
        <f t="shared" si="6"/>
        <v>70.277570289715072</v>
      </c>
      <c r="CZ120">
        <v>3132</v>
      </c>
      <c r="DA120">
        <v>1716</v>
      </c>
      <c r="DB120">
        <v>1037670</v>
      </c>
      <c r="DC120">
        <v>2915</v>
      </c>
      <c r="DE120" t="s">
        <v>147</v>
      </c>
      <c r="DK120" s="5">
        <v>6605.989935742301</v>
      </c>
      <c r="DM120" s="5">
        <v>2265.1810528854853</v>
      </c>
    </row>
    <row r="121" spans="1:117" x14ac:dyDescent="0.25">
      <c r="A121" t="s">
        <v>110</v>
      </c>
      <c r="B121" t="s">
        <v>128</v>
      </c>
      <c r="C121">
        <v>115.44614199999999</v>
      </c>
      <c r="D121">
        <v>-28.588141</v>
      </c>
      <c r="E121">
        <v>2020</v>
      </c>
      <c r="F121" t="s">
        <v>128</v>
      </c>
      <c r="G121" t="s">
        <v>141</v>
      </c>
      <c r="H121" t="s">
        <v>144</v>
      </c>
      <c r="I121">
        <v>27.2</v>
      </c>
      <c r="J121">
        <v>0</v>
      </c>
      <c r="K121">
        <v>993687.9</v>
      </c>
      <c r="L121">
        <v>14.23</v>
      </c>
      <c r="M121">
        <v>36.6</v>
      </c>
      <c r="N121">
        <v>366.1</v>
      </c>
      <c r="O121">
        <v>39.299999999999997</v>
      </c>
      <c r="P121">
        <v>27.6</v>
      </c>
      <c r="Q121">
        <v>79</v>
      </c>
      <c r="R121">
        <v>723929.8</v>
      </c>
      <c r="S121">
        <v>12.17</v>
      </c>
      <c r="T121">
        <v>34.1</v>
      </c>
      <c r="U121">
        <v>261.2</v>
      </c>
      <c r="V121">
        <v>51.4</v>
      </c>
      <c r="W121">
        <v>25.5</v>
      </c>
      <c r="X121">
        <v>2</v>
      </c>
      <c r="Y121">
        <v>695544.6</v>
      </c>
      <c r="Z121">
        <v>11.39</v>
      </c>
      <c r="AA121">
        <v>31.7</v>
      </c>
      <c r="AB121">
        <v>250.3</v>
      </c>
      <c r="AC121">
        <v>49</v>
      </c>
      <c r="AD121">
        <v>22.1</v>
      </c>
      <c r="AE121">
        <v>0.2</v>
      </c>
      <c r="AF121">
        <v>540164.6</v>
      </c>
      <c r="AG121">
        <v>8.6</v>
      </c>
      <c r="AH121">
        <v>27.9</v>
      </c>
      <c r="AI121">
        <v>182.7</v>
      </c>
      <c r="AJ121">
        <v>49.9</v>
      </c>
      <c r="AK121">
        <v>17.2</v>
      </c>
      <c r="AL121">
        <v>18.2</v>
      </c>
      <c r="AM121">
        <v>430302.7</v>
      </c>
      <c r="AN121">
        <v>9.93</v>
      </c>
      <c r="AO121">
        <v>20.100000000000001</v>
      </c>
      <c r="AP121">
        <v>156.19999999999999</v>
      </c>
      <c r="AQ121">
        <v>48.8</v>
      </c>
      <c r="AR121">
        <v>15.9</v>
      </c>
      <c r="AS121">
        <v>61.8</v>
      </c>
      <c r="AT121">
        <v>376474.5</v>
      </c>
      <c r="AU121">
        <v>9.27</v>
      </c>
      <c r="AV121">
        <v>16.899999999999999</v>
      </c>
      <c r="AW121">
        <v>119</v>
      </c>
      <c r="AX121">
        <v>58.6</v>
      </c>
      <c r="AY121">
        <v>13.4</v>
      </c>
      <c r="AZ121">
        <v>36.799999999999997</v>
      </c>
      <c r="BA121">
        <v>437915.7</v>
      </c>
      <c r="BB121">
        <v>7.47</v>
      </c>
      <c r="BC121">
        <v>15.7</v>
      </c>
      <c r="BD121">
        <v>110.3</v>
      </c>
      <c r="BE121">
        <v>67.7</v>
      </c>
      <c r="BF121">
        <v>13.1</v>
      </c>
      <c r="BG121">
        <v>72</v>
      </c>
      <c r="BH121">
        <v>476289.6</v>
      </c>
      <c r="BI121">
        <v>7.3</v>
      </c>
      <c r="BJ121">
        <v>16.3</v>
      </c>
      <c r="BK121">
        <v>105.9</v>
      </c>
      <c r="BL121">
        <v>74.599999999999994</v>
      </c>
      <c r="BM121">
        <v>16</v>
      </c>
      <c r="BN121">
        <v>5.4</v>
      </c>
      <c r="BO121">
        <v>640657.6</v>
      </c>
      <c r="BP121">
        <v>7.55</v>
      </c>
      <c r="BQ121">
        <v>22.2</v>
      </c>
      <c r="BR121">
        <v>172.4</v>
      </c>
      <c r="BS121">
        <v>61</v>
      </c>
      <c r="BT121">
        <v>19.7</v>
      </c>
      <c r="BU121">
        <v>14.2</v>
      </c>
      <c r="BV121">
        <v>831875.3</v>
      </c>
      <c r="BW121">
        <v>8.94</v>
      </c>
      <c r="BX121">
        <v>28.6</v>
      </c>
      <c r="BY121">
        <v>249.9</v>
      </c>
      <c r="BZ121">
        <v>51.4</v>
      </c>
      <c r="CA121">
        <v>21</v>
      </c>
      <c r="CB121">
        <v>21.2</v>
      </c>
      <c r="CC121">
        <v>875086.3</v>
      </c>
      <c r="CD121">
        <v>11.94</v>
      </c>
      <c r="CE121">
        <v>30.2</v>
      </c>
      <c r="CF121">
        <v>268.89999999999998</v>
      </c>
      <c r="CG121">
        <v>53.7</v>
      </c>
      <c r="CH121">
        <v>26.9</v>
      </c>
      <c r="CI121">
        <v>3.2</v>
      </c>
      <c r="CJ121">
        <v>1020387.6</v>
      </c>
      <c r="CK121">
        <v>12.04</v>
      </c>
      <c r="CL121">
        <v>37.1</v>
      </c>
      <c r="CM121">
        <v>367</v>
      </c>
      <c r="CN121">
        <v>36.5</v>
      </c>
      <c r="CP121" s="3">
        <v>137.12151142499999</v>
      </c>
      <c r="CQ121" s="3">
        <v>183.94377395835087</v>
      </c>
      <c r="CR121" s="3">
        <v>171.50265380089249</v>
      </c>
      <c r="CS121" s="3">
        <v>153.47587761539251</v>
      </c>
      <c r="CT121" s="3">
        <v>168.62831412656331</v>
      </c>
      <c r="CU121" s="7">
        <v>0.06</v>
      </c>
      <c r="CV121" s="7">
        <v>0.14000000000000001</v>
      </c>
      <c r="CW121" s="7">
        <v>7.0000000000000007E-2</v>
      </c>
      <c r="CX121" s="7">
        <v>0.04</v>
      </c>
      <c r="CY121" s="3">
        <f t="shared" si="6"/>
        <v>52.535441967766019</v>
      </c>
      <c r="CZ121">
        <v>1591</v>
      </c>
      <c r="DA121">
        <v>1677</v>
      </c>
      <c r="DB121">
        <v>864980</v>
      </c>
      <c r="DC121">
        <v>1861</v>
      </c>
      <c r="DE121" t="s">
        <v>147</v>
      </c>
      <c r="DK121" s="5">
        <v>3355.7247725945085</v>
      </c>
      <c r="DM121" s="5">
        <v>2213.6996653199062</v>
      </c>
    </row>
    <row r="122" spans="1:117" x14ac:dyDescent="0.25">
      <c r="A122" t="s">
        <v>111</v>
      </c>
      <c r="B122" t="s">
        <v>129</v>
      </c>
      <c r="C122">
        <v>117.07455</v>
      </c>
      <c r="D122">
        <v>-32.926220000000001</v>
      </c>
      <c r="E122">
        <v>2013</v>
      </c>
      <c r="F122" t="s">
        <v>129</v>
      </c>
      <c r="G122" t="s">
        <v>139</v>
      </c>
      <c r="H122" t="s">
        <v>142</v>
      </c>
      <c r="I122">
        <v>23</v>
      </c>
      <c r="J122">
        <v>1</v>
      </c>
      <c r="K122">
        <f>+AVERAGE(K123:K125)</f>
        <v>898181.03333333333</v>
      </c>
      <c r="L122">
        <v>13.89</v>
      </c>
      <c r="N122">
        <f>+AVERAGE(N123:N125)</f>
        <v>300</v>
      </c>
      <c r="O122">
        <v>51.3</v>
      </c>
      <c r="P122">
        <v>23.7</v>
      </c>
      <c r="Q122">
        <v>3.4</v>
      </c>
      <c r="R122">
        <f>+AVERAGE(R123:R125)</f>
        <v>782786.1333333333</v>
      </c>
      <c r="S122">
        <v>12.78</v>
      </c>
      <c r="U122">
        <f>+AVERAGE(U123:U125)</f>
        <v>256.5</v>
      </c>
      <c r="V122">
        <v>46.6</v>
      </c>
      <c r="W122">
        <v>18.600000000000001</v>
      </c>
      <c r="X122">
        <v>42.4</v>
      </c>
      <c r="Y122">
        <f>+AVERAGE(Y123:Y125)</f>
        <v>651655.20000000007</v>
      </c>
      <c r="Z122">
        <v>10.88</v>
      </c>
      <c r="AB122">
        <f>+AVERAGE(AB123:AB125)</f>
        <v>203.5</v>
      </c>
      <c r="AC122">
        <v>65.3</v>
      </c>
      <c r="AD122">
        <v>19.399999999999999</v>
      </c>
      <c r="AE122">
        <v>14.6</v>
      </c>
      <c r="AF122">
        <f>+AVERAGE(AF123:AF125)</f>
        <v>439860.6333333333</v>
      </c>
      <c r="AG122">
        <v>7.73</v>
      </c>
      <c r="AI122">
        <f>+AVERAGE(AI123:AI125)</f>
        <v>118.89999999999999</v>
      </c>
      <c r="AJ122">
        <v>64.2</v>
      </c>
      <c r="AK122">
        <v>13</v>
      </c>
      <c r="AL122">
        <v>79.2</v>
      </c>
      <c r="AM122">
        <f>+AVERAGE(AM123:AM125)</f>
        <v>334689.5</v>
      </c>
      <c r="AN122">
        <v>7.67</v>
      </c>
      <c r="AP122">
        <f>+AVERAGE(AP123:AP125)</f>
        <v>71.5</v>
      </c>
      <c r="AQ122">
        <v>77.900000000000006</v>
      </c>
      <c r="AR122">
        <v>10.3</v>
      </c>
      <c r="AS122">
        <v>17.2</v>
      </c>
      <c r="AT122">
        <f>+AVERAGE(AT123:AT125)</f>
        <v>284490</v>
      </c>
      <c r="AU122">
        <v>6.26</v>
      </c>
      <c r="AW122">
        <f>+AVERAGE(AW123:AW125)</f>
        <v>54.366666666666674</v>
      </c>
      <c r="AX122">
        <v>80.8</v>
      </c>
      <c r="AY122">
        <v>9.1</v>
      </c>
      <c r="AZ122">
        <v>66.8</v>
      </c>
      <c r="BA122">
        <f>+AVERAGE(BA123:BA125)</f>
        <v>297256.56666666665</v>
      </c>
      <c r="BB122">
        <v>7.36</v>
      </c>
      <c r="BD122">
        <f>+AVERAGE(BD123:BD125)</f>
        <v>51.199999999999996</v>
      </c>
      <c r="BE122">
        <v>81.7</v>
      </c>
      <c r="BF122">
        <v>11.5</v>
      </c>
      <c r="BG122">
        <v>75.8</v>
      </c>
      <c r="BH122">
        <f>+AVERAGE(BH123:BH125)</f>
        <v>385425.46666666662</v>
      </c>
      <c r="BI122">
        <v>7.98</v>
      </c>
      <c r="BK122">
        <f>+AVERAGE(BK123:BK125)</f>
        <v>72.966666666666654</v>
      </c>
      <c r="BL122">
        <v>86.4</v>
      </c>
      <c r="BM122">
        <v>11.8</v>
      </c>
      <c r="BN122">
        <v>116.2</v>
      </c>
      <c r="BO122">
        <f>+AVERAGE(BO123:BO125)</f>
        <v>548442.53333333333</v>
      </c>
      <c r="BP122">
        <v>10.77</v>
      </c>
      <c r="BR122">
        <f>+AVERAGE(BR123:BR125)</f>
        <v>112.89999999999999</v>
      </c>
      <c r="BS122">
        <v>83.2</v>
      </c>
      <c r="BT122">
        <v>13.8</v>
      </c>
      <c r="BU122">
        <v>30.6</v>
      </c>
      <c r="BV122">
        <v>453.6</v>
      </c>
      <c r="BW122">
        <v>8.6300000000000008</v>
      </c>
      <c r="BY122">
        <v>3.9</v>
      </c>
      <c r="BZ122">
        <v>74.099999999999994</v>
      </c>
      <c r="CA122">
        <v>19.2</v>
      </c>
      <c r="CB122">
        <v>5</v>
      </c>
      <c r="CC122">
        <v>237097.5</v>
      </c>
      <c r="CD122">
        <v>14.29</v>
      </c>
      <c r="CF122">
        <v>121.1</v>
      </c>
      <c r="CG122">
        <v>54.9</v>
      </c>
      <c r="CH122">
        <v>21.3</v>
      </c>
      <c r="CI122">
        <v>4.8</v>
      </c>
      <c r="CJ122">
        <v>968571.8</v>
      </c>
      <c r="CK122">
        <v>12.31</v>
      </c>
      <c r="CM122">
        <v>300.3</v>
      </c>
      <c r="CN122">
        <v>47</v>
      </c>
      <c r="CP122" s="3">
        <v>344.25478384166667</v>
      </c>
      <c r="CQ122" s="3">
        <v>485.1324771412531</v>
      </c>
      <c r="CR122" s="3">
        <v>453.99912920229173</v>
      </c>
      <c r="CS122" s="3">
        <v>379.15555696741984</v>
      </c>
      <c r="CT122" s="3">
        <v>431.36433691804177</v>
      </c>
      <c r="CU122" s="7">
        <v>0.06</v>
      </c>
      <c r="CV122" s="7">
        <v>0.14000000000000001</v>
      </c>
      <c r="CW122" s="7">
        <v>7.0000000000000007E-2</v>
      </c>
      <c r="CX122" s="7">
        <v>0.04</v>
      </c>
      <c r="CY122" s="3">
        <f t="shared" si="6"/>
        <v>136.46328918123712</v>
      </c>
      <c r="CZ122">
        <v>1016</v>
      </c>
      <c r="DA122">
        <v>696</v>
      </c>
      <c r="DB122">
        <v>453990</v>
      </c>
      <c r="DC122">
        <v>1009</v>
      </c>
      <c r="DE122" t="s">
        <v>146</v>
      </c>
      <c r="DK122" s="5">
        <v>322.3035390632453</v>
      </c>
      <c r="DM122" s="5">
        <v>230.13354786806116</v>
      </c>
    </row>
    <row r="123" spans="1:117" x14ac:dyDescent="0.25">
      <c r="A123" t="s">
        <v>111</v>
      </c>
      <c r="B123" t="s">
        <v>129</v>
      </c>
      <c r="C123">
        <v>117.07455</v>
      </c>
      <c r="D123">
        <v>-32.926220000000001</v>
      </c>
      <c r="E123">
        <v>2014</v>
      </c>
      <c r="F123" t="s">
        <v>129</v>
      </c>
      <c r="G123" t="s">
        <v>139</v>
      </c>
      <c r="H123" t="s">
        <v>142</v>
      </c>
      <c r="I123">
        <v>23.5</v>
      </c>
      <c r="J123">
        <v>0</v>
      </c>
      <c r="K123">
        <v>971800.6</v>
      </c>
      <c r="L123">
        <v>13.41</v>
      </c>
      <c r="N123">
        <v>320.3</v>
      </c>
      <c r="O123">
        <v>46.8</v>
      </c>
      <c r="P123">
        <v>22.3</v>
      </c>
      <c r="Q123">
        <v>0</v>
      </c>
      <c r="R123">
        <v>804293.2</v>
      </c>
      <c r="S123">
        <v>14.15</v>
      </c>
      <c r="U123">
        <v>264.5</v>
      </c>
      <c r="V123">
        <v>47.1</v>
      </c>
      <c r="W123">
        <v>20.9</v>
      </c>
      <c r="X123">
        <v>13.4</v>
      </c>
      <c r="Y123">
        <v>672222.5</v>
      </c>
      <c r="Z123">
        <v>11.84</v>
      </c>
      <c r="AB123">
        <v>216.8</v>
      </c>
      <c r="AC123">
        <v>55</v>
      </c>
      <c r="AD123">
        <v>17.100000000000001</v>
      </c>
      <c r="AE123">
        <v>17.399999999999999</v>
      </c>
      <c r="AF123">
        <v>492800</v>
      </c>
      <c r="AG123">
        <v>7.62</v>
      </c>
      <c r="AI123">
        <v>138.5</v>
      </c>
      <c r="AJ123">
        <v>61.3</v>
      </c>
      <c r="AK123">
        <v>13.6</v>
      </c>
      <c r="AL123">
        <v>97.8</v>
      </c>
      <c r="AM123">
        <v>295124.5</v>
      </c>
      <c r="AN123">
        <v>7.52</v>
      </c>
      <c r="AP123">
        <v>60</v>
      </c>
      <c r="AQ123">
        <v>83.1</v>
      </c>
      <c r="AR123">
        <v>10.3</v>
      </c>
      <c r="AS123">
        <v>44.8</v>
      </c>
      <c r="AT123">
        <v>290049.5</v>
      </c>
      <c r="AU123">
        <v>6.61</v>
      </c>
      <c r="AW123">
        <v>56.5</v>
      </c>
      <c r="AX123">
        <v>77.900000000000006</v>
      </c>
      <c r="AY123">
        <v>10.199999999999999</v>
      </c>
      <c r="AZ123">
        <v>95.6</v>
      </c>
      <c r="BA123">
        <v>295189.5</v>
      </c>
      <c r="BB123">
        <v>7.55</v>
      </c>
      <c r="BD123">
        <v>53.3</v>
      </c>
      <c r="BE123">
        <v>83</v>
      </c>
      <c r="BF123">
        <v>11.6</v>
      </c>
      <c r="BG123">
        <v>79</v>
      </c>
      <c r="BH123">
        <v>398174.5</v>
      </c>
      <c r="BI123">
        <v>6.88</v>
      </c>
      <c r="BK123">
        <v>81</v>
      </c>
      <c r="BL123">
        <v>78.400000000000006</v>
      </c>
      <c r="BM123">
        <v>12.7</v>
      </c>
      <c r="BN123">
        <v>71.2</v>
      </c>
      <c r="BO123">
        <v>532560.69999999995</v>
      </c>
      <c r="BP123">
        <v>8.52</v>
      </c>
      <c r="BR123">
        <v>111.8</v>
      </c>
      <c r="BS123">
        <v>78.400000000000006</v>
      </c>
      <c r="BT123">
        <v>15.4</v>
      </c>
      <c r="BU123">
        <v>22.8</v>
      </c>
      <c r="BV123">
        <v>730160.5</v>
      </c>
      <c r="BW123">
        <v>9.83</v>
      </c>
      <c r="BY123">
        <v>175.4</v>
      </c>
      <c r="BZ123">
        <v>69.5</v>
      </c>
      <c r="CA123">
        <v>17.8</v>
      </c>
      <c r="CB123">
        <v>22.2</v>
      </c>
      <c r="CC123">
        <v>824349.3</v>
      </c>
      <c r="CD123">
        <v>11.59</v>
      </c>
      <c r="CF123">
        <v>234.3</v>
      </c>
      <c r="CG123">
        <v>56.5</v>
      </c>
      <c r="CH123">
        <v>20.3</v>
      </c>
      <c r="CI123">
        <v>0.6</v>
      </c>
      <c r="CJ123">
        <v>977039.8</v>
      </c>
      <c r="CK123">
        <v>13.82</v>
      </c>
      <c r="CM123">
        <v>295.3</v>
      </c>
      <c r="CN123">
        <v>49.1</v>
      </c>
      <c r="CP123" s="3">
        <v>283.32452813333333</v>
      </c>
      <c r="CQ123" s="3">
        <v>368.2939243092531</v>
      </c>
      <c r="CR123" s="3">
        <v>330.59328943508331</v>
      </c>
      <c r="CS123" s="3">
        <v>279.4513129062604</v>
      </c>
      <c r="CT123" s="3">
        <v>325.40383910199995</v>
      </c>
      <c r="CU123" s="7">
        <v>0.06</v>
      </c>
      <c r="CV123" s="7">
        <v>0.14000000000000001</v>
      </c>
      <c r="CW123" s="7">
        <v>7.0000000000000007E-2</v>
      </c>
      <c r="CX123" s="7">
        <v>0.04</v>
      </c>
      <c r="CY123" s="3">
        <f t="shared" si="6"/>
        <v>100.95844144698508</v>
      </c>
      <c r="CZ123">
        <v>1638</v>
      </c>
      <c r="DA123">
        <v>683</v>
      </c>
      <c r="DB123">
        <v>566200</v>
      </c>
      <c r="DC123">
        <v>1514</v>
      </c>
      <c r="DE123" t="s">
        <v>146</v>
      </c>
      <c r="DK123" s="5">
        <v>519.61928837164942</v>
      </c>
      <c r="DM123" s="5">
        <v>225.8350764279968</v>
      </c>
    </row>
    <row r="124" spans="1:117" x14ac:dyDescent="0.25">
      <c r="A124" t="s">
        <v>111</v>
      </c>
      <c r="B124" t="s">
        <v>129</v>
      </c>
      <c r="C124">
        <v>117.07455</v>
      </c>
      <c r="D124">
        <v>-32.926220000000001</v>
      </c>
      <c r="E124">
        <v>2015</v>
      </c>
      <c r="F124" t="s">
        <v>129</v>
      </c>
      <c r="G124" t="s">
        <v>139</v>
      </c>
      <c r="H124" t="s">
        <v>142</v>
      </c>
      <c r="I124">
        <v>23.6</v>
      </c>
      <c r="J124">
        <v>1.6</v>
      </c>
      <c r="K124">
        <v>950469.4</v>
      </c>
      <c r="L124">
        <v>15</v>
      </c>
      <c r="N124">
        <v>326.5</v>
      </c>
      <c r="O124">
        <v>43</v>
      </c>
      <c r="P124">
        <v>24</v>
      </c>
      <c r="Q124">
        <v>1.6</v>
      </c>
      <c r="R124">
        <v>723725.8</v>
      </c>
      <c r="S124">
        <v>12.97</v>
      </c>
      <c r="U124">
        <v>245.2</v>
      </c>
      <c r="V124">
        <v>49</v>
      </c>
      <c r="W124">
        <v>20</v>
      </c>
      <c r="X124">
        <v>18.399999999999999</v>
      </c>
      <c r="Y124">
        <v>676175.8</v>
      </c>
      <c r="Z124">
        <v>12.34</v>
      </c>
      <c r="AB124">
        <v>209.9</v>
      </c>
      <c r="AC124">
        <v>57.9</v>
      </c>
      <c r="AD124">
        <v>16.100000000000001</v>
      </c>
      <c r="AE124">
        <v>42.6</v>
      </c>
      <c r="AF124">
        <v>445127.8</v>
      </c>
      <c r="AG124">
        <v>10.65</v>
      </c>
      <c r="AI124">
        <v>122.5</v>
      </c>
      <c r="AJ124">
        <v>65.3</v>
      </c>
      <c r="AK124">
        <v>11.4</v>
      </c>
      <c r="AL124">
        <v>27</v>
      </c>
      <c r="AM124">
        <v>365167</v>
      </c>
      <c r="AN124">
        <v>7.91</v>
      </c>
      <c r="AP124">
        <v>86</v>
      </c>
      <c r="AQ124">
        <v>72.5</v>
      </c>
      <c r="AR124">
        <v>11.6</v>
      </c>
      <c r="AS124">
        <v>50.2</v>
      </c>
      <c r="AT124">
        <v>289342.8</v>
      </c>
      <c r="AU124">
        <v>8.23</v>
      </c>
      <c r="AW124">
        <v>58.9</v>
      </c>
      <c r="AX124">
        <v>83.1</v>
      </c>
      <c r="AY124">
        <v>10.4</v>
      </c>
      <c r="AZ124">
        <v>38.799999999999997</v>
      </c>
      <c r="BA124">
        <v>275177.40000000002</v>
      </c>
      <c r="BB124">
        <v>6.94</v>
      </c>
      <c r="BD124">
        <v>43.3</v>
      </c>
      <c r="BE124">
        <v>90.9</v>
      </c>
      <c r="BF124">
        <v>10.6</v>
      </c>
      <c r="BG124">
        <v>85</v>
      </c>
      <c r="BH124">
        <v>381448.6</v>
      </c>
      <c r="BI124">
        <v>7.36</v>
      </c>
      <c r="BK124">
        <v>72.599999999999994</v>
      </c>
      <c r="BL124">
        <v>80.8</v>
      </c>
      <c r="BM124">
        <v>12</v>
      </c>
      <c r="BN124">
        <v>21</v>
      </c>
      <c r="BO124">
        <v>587423.9</v>
      </c>
      <c r="BP124">
        <v>8.09</v>
      </c>
      <c r="BR124">
        <v>129.1</v>
      </c>
      <c r="BS124">
        <v>72</v>
      </c>
      <c r="BT124">
        <v>17.899999999999999</v>
      </c>
      <c r="BU124">
        <v>6.4</v>
      </c>
      <c r="BV124">
        <v>680293.4</v>
      </c>
      <c r="BW124">
        <v>10.31</v>
      </c>
      <c r="BY124">
        <v>190.6</v>
      </c>
      <c r="BZ124">
        <v>60.2</v>
      </c>
      <c r="CA124">
        <v>20.100000000000001</v>
      </c>
      <c r="CB124">
        <v>30.8</v>
      </c>
      <c r="CC124">
        <v>839066.5</v>
      </c>
      <c r="CD124">
        <v>6.02</v>
      </c>
      <c r="CF124">
        <v>222.2</v>
      </c>
      <c r="CG124">
        <v>55.3</v>
      </c>
      <c r="CH124">
        <v>21.3</v>
      </c>
      <c r="CI124">
        <v>61.2</v>
      </c>
      <c r="CJ124">
        <v>943698</v>
      </c>
      <c r="CK124">
        <v>13.49</v>
      </c>
      <c r="CM124">
        <v>292.3</v>
      </c>
      <c r="CN124">
        <v>50</v>
      </c>
      <c r="CP124" s="3">
        <v>204.8839893083333</v>
      </c>
      <c r="CQ124" s="3">
        <v>357.71587473362189</v>
      </c>
      <c r="CR124" s="3">
        <v>322.98543302087501</v>
      </c>
      <c r="CS124" s="3">
        <v>251.33925340010413</v>
      </c>
      <c r="CT124" s="3">
        <v>238.07175714163543</v>
      </c>
      <c r="CU124" s="7">
        <v>0.06</v>
      </c>
      <c r="CV124" s="7">
        <v>0.14000000000000001</v>
      </c>
      <c r="CW124" s="7">
        <v>7.0000000000000007E-2</v>
      </c>
      <c r="CX124" s="7">
        <v>0.04</v>
      </c>
      <c r="CY124" s="3">
        <f t="shared" si="6"/>
        <v>93.797531130612526</v>
      </c>
      <c r="CZ124">
        <v>1468</v>
      </c>
      <c r="DA124">
        <v>695</v>
      </c>
      <c r="DB124">
        <v>628010</v>
      </c>
      <c r="DC124">
        <v>1524</v>
      </c>
      <c r="DE124" t="s">
        <v>146</v>
      </c>
      <c r="DK124" s="5">
        <v>465.69054659925598</v>
      </c>
      <c r="DM124" s="5">
        <v>229.80289621882542</v>
      </c>
    </row>
    <row r="125" spans="1:117" x14ac:dyDescent="0.25">
      <c r="A125" t="s">
        <v>111</v>
      </c>
      <c r="B125" t="s">
        <v>129</v>
      </c>
      <c r="C125">
        <v>117.07455</v>
      </c>
      <c r="D125">
        <v>-32.926220000000001</v>
      </c>
      <c r="E125">
        <v>2016</v>
      </c>
      <c r="F125" t="s">
        <v>129</v>
      </c>
      <c r="G125" t="s">
        <v>139</v>
      </c>
      <c r="H125" t="s">
        <v>142</v>
      </c>
      <c r="I125">
        <v>22.6</v>
      </c>
      <c r="J125">
        <v>62.2</v>
      </c>
      <c r="K125">
        <v>772273.1</v>
      </c>
      <c r="L125">
        <v>13.83</v>
      </c>
      <c r="N125">
        <v>253.2</v>
      </c>
      <c r="O125">
        <v>58.7</v>
      </c>
      <c r="P125">
        <v>22.9</v>
      </c>
      <c r="Q125">
        <v>3</v>
      </c>
      <c r="R125">
        <v>820339.4</v>
      </c>
      <c r="S125">
        <v>13.2</v>
      </c>
      <c r="U125">
        <v>259.8</v>
      </c>
      <c r="V125">
        <v>50.1</v>
      </c>
      <c r="W125">
        <v>20.8</v>
      </c>
      <c r="X125">
        <v>53.4</v>
      </c>
      <c r="Y125">
        <v>606567.30000000005</v>
      </c>
      <c r="Z125">
        <v>12.56</v>
      </c>
      <c r="AB125">
        <v>183.8</v>
      </c>
      <c r="AC125">
        <v>64.900000000000006</v>
      </c>
      <c r="AD125">
        <v>16.600000000000001</v>
      </c>
      <c r="AE125">
        <v>46</v>
      </c>
      <c r="AF125">
        <v>381654.1</v>
      </c>
      <c r="AG125">
        <v>9.36</v>
      </c>
      <c r="AI125">
        <v>95.7</v>
      </c>
      <c r="AJ125">
        <v>76</v>
      </c>
      <c r="AK125">
        <v>11.9</v>
      </c>
      <c r="AL125">
        <v>52.4</v>
      </c>
      <c r="AM125">
        <v>343777</v>
      </c>
      <c r="AN125">
        <v>6.65</v>
      </c>
      <c r="AP125">
        <v>68.5</v>
      </c>
      <c r="AQ125">
        <v>83.1</v>
      </c>
      <c r="AR125">
        <v>10.1</v>
      </c>
      <c r="AS125">
        <v>46</v>
      </c>
      <c r="AT125">
        <v>274077.7</v>
      </c>
      <c r="AU125">
        <v>7.19</v>
      </c>
      <c r="AW125">
        <v>47.7</v>
      </c>
      <c r="AX125">
        <v>86.3</v>
      </c>
      <c r="AY125">
        <v>8.6</v>
      </c>
      <c r="AZ125">
        <v>46.4</v>
      </c>
      <c r="BA125">
        <v>321402.8</v>
      </c>
      <c r="BB125">
        <v>8.11</v>
      </c>
      <c r="BD125">
        <v>57</v>
      </c>
      <c r="BE125">
        <v>84.8</v>
      </c>
      <c r="BF125">
        <v>8.6999999999999993</v>
      </c>
      <c r="BG125">
        <v>81.2</v>
      </c>
      <c r="BH125">
        <v>376653.3</v>
      </c>
      <c r="BI125">
        <v>7.94</v>
      </c>
      <c r="BK125">
        <v>65.3</v>
      </c>
      <c r="BL125">
        <v>85.8</v>
      </c>
      <c r="BM125">
        <v>8.9</v>
      </c>
      <c r="BN125">
        <v>48.4</v>
      </c>
      <c r="BO125">
        <v>525343</v>
      </c>
      <c r="BP125">
        <v>8.1199999999999992</v>
      </c>
      <c r="BR125">
        <v>97.8</v>
      </c>
      <c r="BS125">
        <v>82.9</v>
      </c>
      <c r="BT125">
        <v>12.6</v>
      </c>
      <c r="BU125">
        <v>18.399999999999999</v>
      </c>
      <c r="BV125">
        <v>722288.7</v>
      </c>
      <c r="BW125">
        <v>9.4700000000000006</v>
      </c>
      <c r="BY125">
        <v>165.2</v>
      </c>
      <c r="BZ125">
        <v>71.2</v>
      </c>
      <c r="CA125">
        <v>18.600000000000001</v>
      </c>
      <c r="CB125">
        <v>7</v>
      </c>
      <c r="CC125">
        <v>885624.9</v>
      </c>
      <c r="CD125">
        <v>10.19</v>
      </c>
      <c r="CF125">
        <v>253.3</v>
      </c>
      <c r="CG125">
        <v>52.2</v>
      </c>
      <c r="CH125">
        <v>19.899999999999999</v>
      </c>
      <c r="CI125">
        <v>26.6</v>
      </c>
      <c r="CJ125">
        <v>989822.5</v>
      </c>
      <c r="CK125">
        <v>12.83</v>
      </c>
      <c r="CM125">
        <v>292.39999999999998</v>
      </c>
      <c r="CN125">
        <v>52.5</v>
      </c>
      <c r="CP125" s="3">
        <v>133.12695639999998</v>
      </c>
      <c r="CQ125" s="3">
        <v>265.94031967119787</v>
      </c>
      <c r="CR125" s="3">
        <v>244.36784107392498</v>
      </c>
      <c r="CS125" s="3">
        <v>168.48709864302083</v>
      </c>
      <c r="CT125" s="3">
        <v>219.627445633875</v>
      </c>
      <c r="CU125" s="7">
        <v>0.06</v>
      </c>
      <c r="CV125" s="7">
        <v>0.14000000000000001</v>
      </c>
      <c r="CW125" s="7">
        <v>7.0000000000000007E-2</v>
      </c>
      <c r="CX125" s="7">
        <v>0.04</v>
      </c>
      <c r="CY125" s="3">
        <f t="shared" si="6"/>
        <v>70.747111660987827</v>
      </c>
      <c r="CZ125">
        <v>1426</v>
      </c>
      <c r="DA125">
        <v>702</v>
      </c>
      <c r="DB125">
        <v>459370</v>
      </c>
      <c r="DC125">
        <v>1326</v>
      </c>
      <c r="DE125" t="s">
        <v>146</v>
      </c>
      <c r="DK125" s="5">
        <v>452.36697510254703</v>
      </c>
      <c r="DM125" s="5">
        <v>232.11745776347547</v>
      </c>
    </row>
    <row r="126" spans="1:117" x14ac:dyDescent="0.25">
      <c r="A126" t="s">
        <v>111</v>
      </c>
      <c r="B126" t="s">
        <v>129</v>
      </c>
      <c r="C126">
        <v>117.07455</v>
      </c>
      <c r="D126">
        <v>-32.926220000000001</v>
      </c>
      <c r="E126">
        <v>2017</v>
      </c>
      <c r="F126" t="s">
        <v>129</v>
      </c>
      <c r="G126" t="s">
        <v>139</v>
      </c>
      <c r="H126" t="s">
        <v>142</v>
      </c>
      <c r="I126">
        <v>22.8</v>
      </c>
      <c r="J126">
        <v>0.6</v>
      </c>
      <c r="K126">
        <v>957910.3</v>
      </c>
      <c r="L126">
        <v>12.15</v>
      </c>
      <c r="N126">
        <v>312.5</v>
      </c>
      <c r="O126">
        <v>45.6</v>
      </c>
      <c r="P126">
        <v>20.8</v>
      </c>
      <c r="Q126">
        <v>141.4</v>
      </c>
      <c r="R126">
        <v>677529.2</v>
      </c>
      <c r="S126">
        <v>13.59</v>
      </c>
      <c r="U126">
        <v>190.8</v>
      </c>
      <c r="V126">
        <v>63.3</v>
      </c>
      <c r="W126">
        <v>18.600000000000001</v>
      </c>
      <c r="X126">
        <v>39.6</v>
      </c>
      <c r="Y126">
        <v>630985.5</v>
      </c>
      <c r="Z126">
        <v>11.95</v>
      </c>
      <c r="AB126">
        <v>174.3</v>
      </c>
      <c r="AC126">
        <v>67.599999999999994</v>
      </c>
      <c r="AD126">
        <v>16.3</v>
      </c>
      <c r="AE126">
        <v>0.4</v>
      </c>
      <c r="AF126">
        <v>517052</v>
      </c>
      <c r="AG126">
        <v>7.92</v>
      </c>
      <c r="AI126">
        <v>136.19999999999999</v>
      </c>
      <c r="AJ126">
        <v>66.3</v>
      </c>
      <c r="AK126">
        <v>13.3</v>
      </c>
      <c r="AL126">
        <v>54.2</v>
      </c>
      <c r="AM126">
        <v>370758.1</v>
      </c>
      <c r="AN126">
        <v>6.79</v>
      </c>
      <c r="AP126">
        <v>87.7</v>
      </c>
      <c r="AQ126">
        <v>72.900000000000006</v>
      </c>
      <c r="AR126">
        <v>11.5</v>
      </c>
      <c r="AS126">
        <v>54.4</v>
      </c>
      <c r="AT126">
        <v>312106.09999999998</v>
      </c>
      <c r="AU126">
        <v>6.57</v>
      </c>
      <c r="AW126">
        <v>70.900000000000006</v>
      </c>
      <c r="AX126">
        <v>73.8</v>
      </c>
      <c r="AY126">
        <v>9.6999999999999993</v>
      </c>
      <c r="AZ126">
        <v>101</v>
      </c>
      <c r="BA126">
        <v>285611.59999999998</v>
      </c>
      <c r="BB126">
        <v>8.66</v>
      </c>
      <c r="BD126">
        <v>50.5</v>
      </c>
      <c r="BE126">
        <v>86.3</v>
      </c>
      <c r="BF126">
        <v>10.7</v>
      </c>
      <c r="BG126">
        <v>83.6</v>
      </c>
      <c r="BH126">
        <v>370992</v>
      </c>
      <c r="BI126">
        <v>9.4</v>
      </c>
      <c r="BK126">
        <v>70.3</v>
      </c>
      <c r="BL126">
        <v>82.6</v>
      </c>
      <c r="BM126">
        <v>11.9</v>
      </c>
      <c r="BN126">
        <v>55.8</v>
      </c>
      <c r="BO126">
        <v>502386.9</v>
      </c>
      <c r="BP126">
        <v>8.26</v>
      </c>
      <c r="BR126">
        <v>103.4</v>
      </c>
      <c r="BS126">
        <v>78.3</v>
      </c>
      <c r="BT126">
        <v>14</v>
      </c>
      <c r="BU126">
        <v>49.8</v>
      </c>
      <c r="BV126">
        <v>703782.9</v>
      </c>
      <c r="BW126">
        <v>10.67</v>
      </c>
      <c r="BY126">
        <v>167.4</v>
      </c>
      <c r="BZ126">
        <v>71.099999999999994</v>
      </c>
      <c r="CA126">
        <v>19.7</v>
      </c>
      <c r="CB126">
        <v>11.8</v>
      </c>
      <c r="CC126">
        <v>841650.4</v>
      </c>
      <c r="CD126">
        <v>12.63</v>
      </c>
      <c r="CF126">
        <v>247</v>
      </c>
      <c r="CG126">
        <v>54.3</v>
      </c>
      <c r="CH126">
        <v>21.3</v>
      </c>
      <c r="CI126">
        <v>20</v>
      </c>
      <c r="CJ126">
        <v>944931.9</v>
      </c>
      <c r="CK126">
        <v>12.04</v>
      </c>
      <c r="CM126">
        <v>281.60000000000002</v>
      </c>
      <c r="CN126">
        <v>50.7</v>
      </c>
      <c r="CP126" s="3">
        <v>119.07146077499999</v>
      </c>
      <c r="CQ126" s="3">
        <v>235.14453102913441</v>
      </c>
      <c r="CR126" s="3">
        <v>211.74875985799997</v>
      </c>
      <c r="CS126" s="3">
        <v>150.26687985202918</v>
      </c>
      <c r="CT126" s="3">
        <v>166.58352970400003</v>
      </c>
      <c r="CU126" s="7">
        <v>0.06</v>
      </c>
      <c r="CV126" s="7">
        <v>0.14000000000000001</v>
      </c>
      <c r="CW126" s="7">
        <v>7.0000000000000007E-2</v>
      </c>
      <c r="CX126" s="7">
        <v>0.04</v>
      </c>
      <c r="CY126" s="3">
        <f t="shared" si="6"/>
        <v>60.935521019670105</v>
      </c>
      <c r="CZ126">
        <v>1498</v>
      </c>
      <c r="DA126">
        <v>652</v>
      </c>
      <c r="DB126">
        <v>501380</v>
      </c>
      <c r="DC126">
        <v>1435</v>
      </c>
      <c r="DE126" t="s">
        <v>146</v>
      </c>
      <c r="DK126" s="5">
        <v>475.20738338261953</v>
      </c>
      <c r="DM126" s="5">
        <v>215.58487530168946</v>
      </c>
    </row>
    <row r="127" spans="1:117" x14ac:dyDescent="0.25">
      <c r="A127" t="s">
        <v>111</v>
      </c>
      <c r="B127" t="s">
        <v>129</v>
      </c>
      <c r="C127">
        <v>117.07455</v>
      </c>
      <c r="D127">
        <v>-32.926220000000001</v>
      </c>
      <c r="E127">
        <v>2018</v>
      </c>
      <c r="F127" t="s">
        <v>129</v>
      </c>
      <c r="G127" t="s">
        <v>139</v>
      </c>
      <c r="H127" t="s">
        <v>142</v>
      </c>
      <c r="I127">
        <v>22.2</v>
      </c>
      <c r="J127">
        <v>62.8</v>
      </c>
      <c r="K127">
        <v>938047.8</v>
      </c>
      <c r="L127">
        <v>14.24</v>
      </c>
      <c r="N127">
        <v>291.8</v>
      </c>
      <c r="O127">
        <v>53.7</v>
      </c>
      <c r="P127">
        <v>22</v>
      </c>
      <c r="Q127">
        <v>28</v>
      </c>
      <c r="R127">
        <v>737715.9</v>
      </c>
      <c r="S127">
        <v>11.97</v>
      </c>
      <c r="U127">
        <v>227</v>
      </c>
      <c r="V127">
        <v>56.8</v>
      </c>
      <c r="W127">
        <v>20.9</v>
      </c>
      <c r="X127">
        <v>8.6</v>
      </c>
      <c r="Y127">
        <v>661366.9</v>
      </c>
      <c r="Z127">
        <v>12.43</v>
      </c>
      <c r="AB127">
        <v>207.8</v>
      </c>
      <c r="AC127">
        <v>58.6</v>
      </c>
      <c r="AD127">
        <v>17.100000000000001</v>
      </c>
      <c r="AE127">
        <v>31.2</v>
      </c>
      <c r="AF127">
        <v>461516</v>
      </c>
      <c r="AG127">
        <v>8.82</v>
      </c>
      <c r="AI127">
        <v>127.1</v>
      </c>
      <c r="AJ127">
        <v>66.400000000000006</v>
      </c>
      <c r="AK127">
        <v>14</v>
      </c>
      <c r="AL127">
        <v>38</v>
      </c>
      <c r="AM127">
        <v>401933</v>
      </c>
      <c r="AN127">
        <v>8.3000000000000007</v>
      </c>
      <c r="AP127">
        <v>110</v>
      </c>
      <c r="AQ127">
        <v>62.7</v>
      </c>
      <c r="AR127">
        <v>10.5</v>
      </c>
      <c r="AS127">
        <v>102.4</v>
      </c>
      <c r="AT127">
        <v>270828.5</v>
      </c>
      <c r="AU127">
        <v>5.57</v>
      </c>
      <c r="AW127">
        <v>47.8</v>
      </c>
      <c r="AX127">
        <v>84.7</v>
      </c>
      <c r="AY127">
        <v>10.6</v>
      </c>
      <c r="AZ127">
        <v>99.8</v>
      </c>
      <c r="BA127">
        <v>310771.8</v>
      </c>
      <c r="BB127">
        <v>8.8699999999999992</v>
      </c>
      <c r="BD127">
        <v>60.5</v>
      </c>
      <c r="BE127">
        <v>83.9</v>
      </c>
      <c r="BF127">
        <v>9.6</v>
      </c>
      <c r="BG127">
        <v>79.599999999999994</v>
      </c>
      <c r="BH127">
        <v>405790.2</v>
      </c>
      <c r="BI127">
        <v>9.1300000000000008</v>
      </c>
      <c r="BK127">
        <v>76.7</v>
      </c>
      <c r="BL127">
        <v>82.7</v>
      </c>
      <c r="BM127">
        <v>11.2</v>
      </c>
      <c r="BN127">
        <v>9.4</v>
      </c>
      <c r="BO127">
        <v>532660.69999999995</v>
      </c>
      <c r="BP127">
        <v>8.52</v>
      </c>
      <c r="BR127">
        <v>108.8</v>
      </c>
      <c r="BS127">
        <v>78.5</v>
      </c>
      <c r="BT127">
        <v>14.9</v>
      </c>
      <c r="BU127">
        <v>41.4</v>
      </c>
      <c r="BV127">
        <v>628436.19999999995</v>
      </c>
      <c r="BW127">
        <v>10.44</v>
      </c>
      <c r="BY127">
        <v>150.1</v>
      </c>
      <c r="BZ127">
        <v>73.5</v>
      </c>
      <c r="CA127">
        <v>16.600000000000001</v>
      </c>
      <c r="CB127">
        <v>9.8000000000000007</v>
      </c>
      <c r="CC127">
        <v>820883.4</v>
      </c>
      <c r="CD127">
        <v>12.12</v>
      </c>
      <c r="CF127">
        <v>220.2</v>
      </c>
      <c r="CG127">
        <v>59.2</v>
      </c>
      <c r="CH127">
        <v>21.5</v>
      </c>
      <c r="CI127">
        <v>5.8</v>
      </c>
      <c r="CJ127">
        <v>949243.9</v>
      </c>
      <c r="CK127">
        <v>11.98</v>
      </c>
      <c r="CM127">
        <v>287.60000000000002</v>
      </c>
      <c r="CN127">
        <v>49</v>
      </c>
      <c r="CP127" s="3">
        <v>149.45420497500001</v>
      </c>
      <c r="CQ127" s="3">
        <v>274.57347051901041</v>
      </c>
      <c r="CR127" s="3">
        <v>237.4236465424917</v>
      </c>
      <c r="CS127" s="3">
        <v>174.41377918435418</v>
      </c>
      <c r="CT127" s="3">
        <v>166.56083829114584</v>
      </c>
      <c r="CU127" s="7">
        <v>0.06</v>
      </c>
      <c r="CV127" s="7">
        <v>0.14000000000000001</v>
      </c>
      <c r="CW127" s="7">
        <v>7.0000000000000007E-2</v>
      </c>
      <c r="CX127" s="7">
        <v>0.04</v>
      </c>
      <c r="CY127" s="3">
        <f t="shared" si="6"/>
        <v>68.585116821640085</v>
      </c>
      <c r="CZ127">
        <v>1364</v>
      </c>
      <c r="DA127">
        <v>600</v>
      </c>
      <c r="DB127">
        <v>496060</v>
      </c>
      <c r="DC127">
        <v>1349</v>
      </c>
      <c r="DE127" t="s">
        <v>146</v>
      </c>
      <c r="DK127" s="5">
        <v>432.69884575026236</v>
      </c>
      <c r="DM127" s="5">
        <v>198.39098954143202</v>
      </c>
    </row>
    <row r="128" spans="1:117" x14ac:dyDescent="0.25">
      <c r="A128" t="s">
        <v>111</v>
      </c>
      <c r="B128" t="s">
        <v>129</v>
      </c>
      <c r="C128">
        <v>117.07455</v>
      </c>
      <c r="D128">
        <v>-32.926220000000001</v>
      </c>
      <c r="E128">
        <v>2019</v>
      </c>
      <c r="F128" t="s">
        <v>129</v>
      </c>
      <c r="G128" t="s">
        <v>139</v>
      </c>
      <c r="H128" t="s">
        <v>142</v>
      </c>
      <c r="I128">
        <v>22.2</v>
      </c>
      <c r="J128">
        <v>1.4</v>
      </c>
      <c r="K128">
        <v>989736.2</v>
      </c>
      <c r="L128">
        <v>12.52</v>
      </c>
      <c r="N128">
        <v>305.60000000000002</v>
      </c>
      <c r="O128">
        <v>48.1</v>
      </c>
      <c r="P128">
        <v>22.6</v>
      </c>
      <c r="Q128">
        <v>0</v>
      </c>
      <c r="R128">
        <v>802009</v>
      </c>
      <c r="S128">
        <v>13.52</v>
      </c>
      <c r="U128">
        <v>258.7</v>
      </c>
      <c r="V128">
        <v>50.3</v>
      </c>
      <c r="W128">
        <v>20.6</v>
      </c>
      <c r="X128">
        <v>11.8</v>
      </c>
      <c r="Y128">
        <v>630729.80000000005</v>
      </c>
      <c r="Z128">
        <v>12.49</v>
      </c>
      <c r="AB128">
        <v>196.2</v>
      </c>
      <c r="AC128">
        <v>59.6</v>
      </c>
      <c r="AD128">
        <v>16.399999999999999</v>
      </c>
      <c r="AE128">
        <v>17</v>
      </c>
      <c r="AF128">
        <v>502423.7</v>
      </c>
      <c r="AG128">
        <v>9.81</v>
      </c>
      <c r="AI128">
        <v>144.9</v>
      </c>
      <c r="AJ128">
        <v>62.1</v>
      </c>
      <c r="AK128">
        <v>11.8</v>
      </c>
      <c r="AL128">
        <v>14.2</v>
      </c>
      <c r="AM128">
        <v>405979.6</v>
      </c>
      <c r="AN128">
        <v>6.82</v>
      </c>
      <c r="AP128">
        <v>101.1</v>
      </c>
      <c r="AQ128">
        <v>66.8</v>
      </c>
      <c r="AR128">
        <v>11.2</v>
      </c>
      <c r="AS128">
        <v>120.6</v>
      </c>
      <c r="AT128">
        <v>294401.3</v>
      </c>
      <c r="AU128">
        <v>8.99</v>
      </c>
      <c r="AW128">
        <v>70.3</v>
      </c>
      <c r="AX128">
        <v>75.3</v>
      </c>
      <c r="AY128">
        <v>10.5</v>
      </c>
      <c r="AZ128">
        <v>54.2</v>
      </c>
      <c r="BA128">
        <v>308555.2</v>
      </c>
      <c r="BB128">
        <v>6.83</v>
      </c>
      <c r="BD128">
        <v>53.6</v>
      </c>
      <c r="BE128">
        <v>86.6</v>
      </c>
      <c r="BF128">
        <v>10.8</v>
      </c>
      <c r="BG128">
        <v>80.8</v>
      </c>
      <c r="BH128">
        <v>428558.8</v>
      </c>
      <c r="BI128">
        <v>7.56</v>
      </c>
      <c r="BK128">
        <v>83.7</v>
      </c>
      <c r="BL128">
        <v>78.900000000000006</v>
      </c>
      <c r="BM128">
        <v>13</v>
      </c>
      <c r="BN128">
        <v>17.2</v>
      </c>
      <c r="BO128">
        <v>588006.40000000002</v>
      </c>
      <c r="BP128">
        <v>7.8</v>
      </c>
      <c r="BR128">
        <v>128</v>
      </c>
      <c r="BS128">
        <v>75.2</v>
      </c>
      <c r="BT128">
        <v>15.4</v>
      </c>
      <c r="BU128">
        <v>12.4</v>
      </c>
      <c r="BV128">
        <v>757953.1</v>
      </c>
      <c r="BW128">
        <v>9.7799999999999994</v>
      </c>
      <c r="BY128">
        <v>195.5</v>
      </c>
      <c r="BZ128">
        <v>65.099999999999994</v>
      </c>
      <c r="CA128">
        <v>19.2</v>
      </c>
      <c r="CB128">
        <v>12.6</v>
      </c>
      <c r="CC128">
        <v>920443.4</v>
      </c>
      <c r="CD128">
        <v>13.15</v>
      </c>
      <c r="CF128">
        <v>271.60000000000002</v>
      </c>
      <c r="CG128">
        <v>49.9</v>
      </c>
      <c r="CH128">
        <v>24.5</v>
      </c>
      <c r="CI128">
        <v>1.8</v>
      </c>
      <c r="CJ128">
        <v>967641</v>
      </c>
      <c r="CK128">
        <v>12.29</v>
      </c>
      <c r="CM128">
        <v>324.89999999999998</v>
      </c>
      <c r="CN128">
        <v>41.4</v>
      </c>
      <c r="CP128" s="3">
        <v>151.20769046666666</v>
      </c>
      <c r="CQ128" s="3">
        <v>267.33967790703502</v>
      </c>
      <c r="CR128" s="3">
        <v>246.94953969827165</v>
      </c>
      <c r="CS128" s="3">
        <v>186.82042264949916</v>
      </c>
      <c r="CT128" s="3">
        <v>164.67061180174997</v>
      </c>
      <c r="CU128" s="7">
        <v>0.06</v>
      </c>
      <c r="CV128" s="7">
        <v>0.14000000000000001</v>
      </c>
      <c r="CW128" s="7">
        <v>7.0000000000000007E-2</v>
      </c>
      <c r="CX128" s="7">
        <v>0.04</v>
      </c>
      <c r="CY128" s="3">
        <f t="shared" si="6"/>
        <v>70.277570289715072</v>
      </c>
      <c r="CZ128">
        <v>1772</v>
      </c>
      <c r="DA128">
        <v>669</v>
      </c>
      <c r="DB128">
        <v>656390</v>
      </c>
      <c r="DC128">
        <v>1780</v>
      </c>
      <c r="DE128" t="s">
        <v>146</v>
      </c>
      <c r="DK128" s="5">
        <v>562.12782600400647</v>
      </c>
      <c r="DM128" s="5">
        <v>221.2059533386967</v>
      </c>
    </row>
    <row r="129" spans="1:117" x14ac:dyDescent="0.25">
      <c r="A129" t="s">
        <v>111</v>
      </c>
      <c r="B129" t="s">
        <v>129</v>
      </c>
      <c r="C129">
        <v>117.07455</v>
      </c>
      <c r="D129">
        <v>-32.926220000000001</v>
      </c>
      <c r="E129">
        <v>2020</v>
      </c>
      <c r="F129" t="s">
        <v>129</v>
      </c>
      <c r="G129" t="s">
        <v>139</v>
      </c>
      <c r="H129" t="s">
        <v>142</v>
      </c>
      <c r="I129">
        <v>22.5</v>
      </c>
      <c r="J129">
        <v>0</v>
      </c>
      <c r="K129">
        <v>967402.7</v>
      </c>
      <c r="L129">
        <v>14.28</v>
      </c>
      <c r="N129">
        <v>318.7</v>
      </c>
      <c r="O129">
        <v>46.5</v>
      </c>
      <c r="P129">
        <v>23</v>
      </c>
      <c r="Q129">
        <v>61</v>
      </c>
      <c r="R129">
        <v>700887.2</v>
      </c>
      <c r="S129">
        <v>15</v>
      </c>
      <c r="U129">
        <v>233.3</v>
      </c>
      <c r="V129">
        <v>55.9</v>
      </c>
      <c r="W129">
        <v>20.399999999999999</v>
      </c>
      <c r="X129">
        <v>16</v>
      </c>
      <c r="Y129">
        <v>649375</v>
      </c>
      <c r="Z129">
        <v>11.49</v>
      </c>
      <c r="AB129">
        <v>196.2</v>
      </c>
      <c r="AC129">
        <v>59.5</v>
      </c>
      <c r="AD129">
        <v>17.7</v>
      </c>
      <c r="AE129">
        <v>3.2</v>
      </c>
      <c r="AF129">
        <v>480541.3</v>
      </c>
      <c r="AG129">
        <v>9.67</v>
      </c>
      <c r="AI129">
        <v>143.19999999999999</v>
      </c>
      <c r="AJ129">
        <v>61.7</v>
      </c>
      <c r="AK129">
        <v>13</v>
      </c>
      <c r="AL129">
        <v>56.8</v>
      </c>
      <c r="AM129">
        <v>367314.4</v>
      </c>
      <c r="AN129">
        <v>9.5</v>
      </c>
      <c r="AP129">
        <v>93.9</v>
      </c>
      <c r="AQ129">
        <v>69.900000000000006</v>
      </c>
      <c r="AR129">
        <v>12.7</v>
      </c>
      <c r="AS129">
        <v>61</v>
      </c>
      <c r="AT129">
        <v>286960.3</v>
      </c>
      <c r="AU129">
        <v>8.02</v>
      </c>
      <c r="AW129">
        <v>65.3</v>
      </c>
      <c r="AX129">
        <v>75.2</v>
      </c>
      <c r="AY129">
        <v>10.7</v>
      </c>
      <c r="AZ129">
        <v>42</v>
      </c>
      <c r="BA129">
        <v>343513.2</v>
      </c>
      <c r="BB129">
        <v>7.31</v>
      </c>
      <c r="BD129">
        <v>63.6</v>
      </c>
      <c r="BE129">
        <v>82.3</v>
      </c>
      <c r="BF129">
        <v>10.1</v>
      </c>
      <c r="BG129">
        <v>48.8</v>
      </c>
      <c r="BH129">
        <v>448272.7</v>
      </c>
      <c r="BI129">
        <v>8.64</v>
      </c>
      <c r="BK129">
        <v>84.5</v>
      </c>
      <c r="BL129">
        <v>81.099999999999994</v>
      </c>
      <c r="BM129">
        <v>12.2</v>
      </c>
      <c r="BN129">
        <v>47.6</v>
      </c>
      <c r="BO129">
        <v>559015</v>
      </c>
      <c r="BP129">
        <v>10.08</v>
      </c>
      <c r="BR129">
        <v>126.6</v>
      </c>
      <c r="BS129">
        <v>76.2</v>
      </c>
      <c r="BT129">
        <v>15.9</v>
      </c>
      <c r="BU129">
        <v>7.8</v>
      </c>
      <c r="BV129">
        <v>758028.80000000005</v>
      </c>
      <c r="BW129">
        <v>10.53</v>
      </c>
      <c r="BY129">
        <v>200.9</v>
      </c>
      <c r="BZ129">
        <v>61.1</v>
      </c>
      <c r="CA129">
        <v>16.899999999999999</v>
      </c>
      <c r="CB129">
        <v>47.8</v>
      </c>
      <c r="CC129">
        <v>759032.7</v>
      </c>
      <c r="CD129">
        <v>11.1</v>
      </c>
      <c r="CF129">
        <v>208.5</v>
      </c>
      <c r="CG129">
        <v>61.4</v>
      </c>
      <c r="CH129">
        <v>21.8</v>
      </c>
      <c r="CI129">
        <v>0.6</v>
      </c>
      <c r="CJ129">
        <v>988067.9</v>
      </c>
      <c r="CK129">
        <v>14.75</v>
      </c>
      <c r="CM129">
        <v>316.5</v>
      </c>
      <c r="CN129">
        <v>44.4</v>
      </c>
      <c r="CP129" s="3">
        <v>137.12151142499999</v>
      </c>
      <c r="CQ129" s="3">
        <v>183.94377395835087</v>
      </c>
      <c r="CR129" s="3">
        <v>171.50265380089249</v>
      </c>
      <c r="CS129" s="3">
        <v>153.47587761539251</v>
      </c>
      <c r="CT129" s="3">
        <v>168.62831412656331</v>
      </c>
      <c r="CU129" s="7">
        <v>0.06</v>
      </c>
      <c r="CV129" s="7">
        <v>0.14000000000000001</v>
      </c>
      <c r="CW129" s="7">
        <v>7.0000000000000007E-2</v>
      </c>
      <c r="CX129" s="7">
        <v>0.04</v>
      </c>
      <c r="CY129" s="3">
        <f t="shared" si="6"/>
        <v>52.535441967766019</v>
      </c>
      <c r="CZ129">
        <v>1005</v>
      </c>
      <c r="DA129">
        <v>646</v>
      </c>
      <c r="DB129">
        <v>524950</v>
      </c>
      <c r="DC129">
        <v>1056</v>
      </c>
      <c r="DE129" t="s">
        <v>146</v>
      </c>
      <c r="DK129" s="5">
        <v>318.81403224267865</v>
      </c>
      <c r="DM129" s="5">
        <v>213.60096540627515</v>
      </c>
    </row>
    <row r="130" spans="1:117" x14ac:dyDescent="0.25">
      <c r="A130" t="s">
        <v>112</v>
      </c>
      <c r="B130" t="s">
        <v>130</v>
      </c>
      <c r="C130">
        <v>116.694194</v>
      </c>
      <c r="D130">
        <v>-31.651610999999999</v>
      </c>
      <c r="E130">
        <v>2013</v>
      </c>
      <c r="F130" t="s">
        <v>130</v>
      </c>
      <c r="G130" t="s">
        <v>139</v>
      </c>
      <c r="H130" t="s">
        <v>142</v>
      </c>
      <c r="I130">
        <v>24.8</v>
      </c>
      <c r="J130">
        <v>18.600000000000001</v>
      </c>
      <c r="K130">
        <v>936696.8</v>
      </c>
      <c r="L130">
        <v>7.99</v>
      </c>
      <c r="M130">
        <v>37.799999999999997</v>
      </c>
      <c r="N130">
        <v>289</v>
      </c>
      <c r="O130">
        <v>44.4</v>
      </c>
      <c r="P130">
        <v>25.5</v>
      </c>
      <c r="Q130">
        <v>1.6</v>
      </c>
      <c r="R130">
        <v>792506.5</v>
      </c>
      <c r="S130">
        <v>7.12</v>
      </c>
      <c r="T130">
        <v>38.4</v>
      </c>
      <c r="U130">
        <v>258.5</v>
      </c>
      <c r="V130">
        <v>37.200000000000003</v>
      </c>
      <c r="W130">
        <v>20.399999999999999</v>
      </c>
      <c r="X130">
        <v>69.400000000000006</v>
      </c>
      <c r="Y130">
        <v>680785.2</v>
      </c>
      <c r="Z130">
        <v>6.94</v>
      </c>
      <c r="AA130">
        <v>30</v>
      </c>
      <c r="AB130">
        <v>196</v>
      </c>
      <c r="AC130">
        <v>56</v>
      </c>
      <c r="AD130">
        <v>20.100000000000001</v>
      </c>
      <c r="AE130">
        <v>14.2</v>
      </c>
      <c r="AF130">
        <v>437795.5</v>
      </c>
      <c r="AG130">
        <v>4.99</v>
      </c>
      <c r="AH130">
        <v>25</v>
      </c>
      <c r="AI130">
        <v>127.8</v>
      </c>
      <c r="AJ130">
        <v>60</v>
      </c>
      <c r="AK130">
        <v>13.1</v>
      </c>
      <c r="AL130">
        <v>53</v>
      </c>
      <c r="AM130">
        <v>381099</v>
      </c>
      <c r="AN130">
        <v>5.68</v>
      </c>
      <c r="AO130">
        <v>17.2</v>
      </c>
      <c r="AP130">
        <v>83.9</v>
      </c>
      <c r="AQ130">
        <v>73.599999999999994</v>
      </c>
      <c r="AR130">
        <v>9.8000000000000007</v>
      </c>
      <c r="AS130">
        <v>5.2</v>
      </c>
      <c r="AT130">
        <v>332292.90000000002</v>
      </c>
      <c r="AU130">
        <v>4.21</v>
      </c>
      <c r="AV130">
        <v>13.4</v>
      </c>
      <c r="AW130">
        <v>64.5</v>
      </c>
      <c r="AX130">
        <v>75.099999999999994</v>
      </c>
      <c r="AY130">
        <v>8.4</v>
      </c>
      <c r="AZ130">
        <v>65.599999999999994</v>
      </c>
      <c r="BA130">
        <v>334964.59999999998</v>
      </c>
      <c r="BB130">
        <v>4.95</v>
      </c>
      <c r="BC130">
        <v>12</v>
      </c>
      <c r="BD130">
        <v>64.900000000000006</v>
      </c>
      <c r="BE130">
        <v>77</v>
      </c>
      <c r="BF130">
        <v>11.2</v>
      </c>
      <c r="BG130">
        <v>66.599999999999994</v>
      </c>
      <c r="BH130">
        <v>412744.3</v>
      </c>
      <c r="BI130">
        <v>6.01</v>
      </c>
      <c r="BJ130">
        <v>14.9</v>
      </c>
      <c r="BK130">
        <v>79</v>
      </c>
      <c r="BL130">
        <v>81.5</v>
      </c>
      <c r="BM130">
        <v>12.4</v>
      </c>
      <c r="BN130">
        <v>67.8</v>
      </c>
      <c r="BO130">
        <v>539275.4</v>
      </c>
      <c r="BP130">
        <v>7.83</v>
      </c>
      <c r="BQ130">
        <v>17.399999999999999</v>
      </c>
      <c r="BR130">
        <v>112.1</v>
      </c>
      <c r="BS130">
        <v>76.099999999999994</v>
      </c>
      <c r="BT130">
        <v>15.6</v>
      </c>
      <c r="BU130">
        <v>23.6</v>
      </c>
      <c r="BV130">
        <v>790697.8</v>
      </c>
      <c r="BW130">
        <v>6.6</v>
      </c>
      <c r="BX130">
        <v>24.3</v>
      </c>
      <c r="BY130">
        <v>195.3</v>
      </c>
      <c r="BZ130">
        <v>61.7</v>
      </c>
      <c r="CA130">
        <v>22.5</v>
      </c>
      <c r="CB130">
        <v>0.4</v>
      </c>
      <c r="CC130">
        <v>849661</v>
      </c>
      <c r="CD130">
        <v>6.79</v>
      </c>
      <c r="CE130">
        <v>31.5</v>
      </c>
      <c r="CF130">
        <v>250.7</v>
      </c>
      <c r="CG130">
        <v>45.5</v>
      </c>
      <c r="CH130">
        <v>24.5</v>
      </c>
      <c r="CI130">
        <v>6.2</v>
      </c>
      <c r="CJ130">
        <v>978872.4</v>
      </c>
      <c r="CK130">
        <v>6.02</v>
      </c>
      <c r="CL130">
        <v>34.299999999999997</v>
      </c>
      <c r="CM130">
        <v>295.2</v>
      </c>
      <c r="CN130">
        <v>40.799999999999997</v>
      </c>
      <c r="CP130" s="3">
        <v>344.25478384166667</v>
      </c>
      <c r="CQ130" s="3">
        <v>485.1324771412531</v>
      </c>
      <c r="CR130" s="3">
        <v>453.99912920229173</v>
      </c>
      <c r="CS130" s="3">
        <v>379.15555696741984</v>
      </c>
      <c r="CT130" s="3">
        <v>431.36433691804177</v>
      </c>
      <c r="CU130" s="7">
        <v>0.06</v>
      </c>
      <c r="CV130" s="7">
        <v>0.14000000000000001</v>
      </c>
      <c r="CW130" s="7">
        <v>7.0000000000000007E-2</v>
      </c>
      <c r="CX130" s="7">
        <v>0.04</v>
      </c>
      <c r="CY130" s="3">
        <f t="shared" si="6"/>
        <v>136.46328918123712</v>
      </c>
      <c r="CZ130">
        <v>1016</v>
      </c>
      <c r="DA130">
        <v>696</v>
      </c>
      <c r="DB130">
        <v>453990</v>
      </c>
      <c r="DC130">
        <v>1009</v>
      </c>
      <c r="DE130" t="s">
        <v>146</v>
      </c>
      <c r="DK130" s="5">
        <v>594.38730539435085</v>
      </c>
      <c r="DM130" s="5">
        <v>453.97394153615932</v>
      </c>
    </row>
    <row r="131" spans="1:117" x14ac:dyDescent="0.25">
      <c r="A131" t="s">
        <v>112</v>
      </c>
      <c r="B131" t="s">
        <v>130</v>
      </c>
      <c r="C131">
        <v>116.694194</v>
      </c>
      <c r="D131">
        <v>-31.651610999999999</v>
      </c>
      <c r="E131">
        <v>2014</v>
      </c>
      <c r="F131" t="s">
        <v>130</v>
      </c>
      <c r="G131" t="s">
        <v>139</v>
      </c>
      <c r="H131" t="s">
        <v>142</v>
      </c>
      <c r="I131">
        <v>26.6</v>
      </c>
      <c r="J131">
        <v>2.2000000000000002</v>
      </c>
      <c r="K131">
        <v>950117.1</v>
      </c>
      <c r="L131">
        <v>6.69</v>
      </c>
      <c r="M131">
        <v>36.6</v>
      </c>
      <c r="N131">
        <v>303.7</v>
      </c>
      <c r="O131">
        <v>42.3</v>
      </c>
      <c r="P131">
        <v>26.3</v>
      </c>
      <c r="Q131">
        <v>0.2</v>
      </c>
      <c r="R131">
        <v>807514.7</v>
      </c>
      <c r="S131">
        <v>6.64</v>
      </c>
      <c r="T131">
        <v>36.1</v>
      </c>
      <c r="U131">
        <v>252.4</v>
      </c>
      <c r="V131">
        <v>39.6</v>
      </c>
      <c r="W131">
        <v>24</v>
      </c>
      <c r="X131">
        <v>1</v>
      </c>
      <c r="Y131">
        <v>693270</v>
      </c>
      <c r="Z131">
        <v>5.46</v>
      </c>
      <c r="AA131">
        <v>32</v>
      </c>
      <c r="AB131">
        <v>215.9</v>
      </c>
      <c r="AC131">
        <v>48.2</v>
      </c>
      <c r="AD131">
        <v>19.600000000000001</v>
      </c>
      <c r="AE131">
        <v>67.2</v>
      </c>
      <c r="AF131">
        <v>509433.7</v>
      </c>
      <c r="AG131">
        <v>3.17</v>
      </c>
      <c r="AH131">
        <v>25.2</v>
      </c>
      <c r="AI131">
        <v>137.19999999999999</v>
      </c>
      <c r="AJ131">
        <v>56.9</v>
      </c>
      <c r="AK131">
        <v>15</v>
      </c>
      <c r="AL131">
        <v>67.8</v>
      </c>
      <c r="AM131">
        <v>321779.09999999998</v>
      </c>
      <c r="AN131">
        <v>3.49</v>
      </c>
      <c r="AO131">
        <v>17.3</v>
      </c>
      <c r="AP131">
        <v>63.9</v>
      </c>
      <c r="AQ131">
        <v>84.9</v>
      </c>
      <c r="AR131">
        <v>10.3</v>
      </c>
      <c r="AS131">
        <v>44.6</v>
      </c>
      <c r="AT131">
        <v>302692</v>
      </c>
      <c r="AU131">
        <v>2.42</v>
      </c>
      <c r="AV131">
        <v>12.4</v>
      </c>
      <c r="AW131">
        <v>53.2</v>
      </c>
      <c r="AX131">
        <v>83.6</v>
      </c>
      <c r="AY131">
        <v>10.8</v>
      </c>
      <c r="AZ131">
        <v>82.2</v>
      </c>
      <c r="BA131">
        <v>326021.5</v>
      </c>
      <c r="BB131">
        <v>3.16</v>
      </c>
      <c r="BC131">
        <v>12.4</v>
      </c>
      <c r="BD131">
        <v>56.7</v>
      </c>
      <c r="BE131">
        <v>86.3</v>
      </c>
      <c r="BF131">
        <v>13</v>
      </c>
      <c r="BG131">
        <v>44</v>
      </c>
      <c r="BH131">
        <v>435601.5</v>
      </c>
      <c r="BI131">
        <v>2.89</v>
      </c>
      <c r="BJ131">
        <v>14.9</v>
      </c>
      <c r="BK131">
        <v>87</v>
      </c>
      <c r="BL131">
        <v>80.3</v>
      </c>
      <c r="BM131">
        <v>14.8</v>
      </c>
      <c r="BN131">
        <v>39.200000000000003</v>
      </c>
      <c r="BO131">
        <v>543764.19999999995</v>
      </c>
      <c r="BP131">
        <v>4.42</v>
      </c>
      <c r="BQ131">
        <v>18.899999999999999</v>
      </c>
      <c r="BR131">
        <v>117.5</v>
      </c>
      <c r="BS131">
        <v>76.2</v>
      </c>
      <c r="BT131">
        <v>18.2</v>
      </c>
      <c r="BU131">
        <v>64</v>
      </c>
      <c r="BV131">
        <v>743256.6</v>
      </c>
      <c r="BW131">
        <v>4.42</v>
      </c>
      <c r="BX131">
        <v>25.1</v>
      </c>
      <c r="BY131">
        <v>187</v>
      </c>
      <c r="BZ131">
        <v>62.4</v>
      </c>
      <c r="CA131">
        <v>20.399999999999999</v>
      </c>
      <c r="CB131">
        <v>7.2</v>
      </c>
      <c r="CC131">
        <v>835200.9</v>
      </c>
      <c r="CD131">
        <v>5.22</v>
      </c>
      <c r="CE131">
        <v>30.5</v>
      </c>
      <c r="CF131">
        <v>227</v>
      </c>
      <c r="CG131">
        <v>52.7</v>
      </c>
      <c r="CH131">
        <v>23.7</v>
      </c>
      <c r="CI131">
        <v>1</v>
      </c>
      <c r="CJ131">
        <v>1002019.3</v>
      </c>
      <c r="CK131">
        <v>6.26</v>
      </c>
      <c r="CL131">
        <v>36.200000000000003</v>
      </c>
      <c r="CM131">
        <v>294.7</v>
      </c>
      <c r="CN131">
        <v>42.5</v>
      </c>
      <c r="CP131" s="3">
        <v>283.32452813333333</v>
      </c>
      <c r="CQ131" s="3">
        <v>368.2939243092531</v>
      </c>
      <c r="CR131" s="3">
        <v>330.59328943508331</v>
      </c>
      <c r="CS131" s="3">
        <v>279.4513129062604</v>
      </c>
      <c r="CT131" s="3">
        <v>325.40383910199995</v>
      </c>
      <c r="CU131" s="7">
        <v>0.06</v>
      </c>
      <c r="CV131" s="7">
        <v>0.14000000000000001</v>
      </c>
      <c r="CW131" s="7">
        <v>7.0000000000000007E-2</v>
      </c>
      <c r="CX131" s="7">
        <v>0.04</v>
      </c>
      <c r="CY131" s="3">
        <f t="shared" si="6"/>
        <v>100.95844144698508</v>
      </c>
      <c r="CZ131">
        <v>1638</v>
      </c>
      <c r="DA131">
        <v>683</v>
      </c>
      <c r="DB131">
        <v>566200</v>
      </c>
      <c r="DC131">
        <v>1514</v>
      </c>
      <c r="DE131" t="s">
        <v>146</v>
      </c>
      <c r="DK131" s="5">
        <v>958.27402188577423</v>
      </c>
      <c r="DM131" s="5">
        <v>445.49454320286901</v>
      </c>
    </row>
    <row r="132" spans="1:117" x14ac:dyDescent="0.25">
      <c r="A132" t="s">
        <v>112</v>
      </c>
      <c r="B132" t="s">
        <v>130</v>
      </c>
      <c r="C132">
        <v>116.694194</v>
      </c>
      <c r="D132">
        <v>-31.651610999999999</v>
      </c>
      <c r="E132">
        <v>2015</v>
      </c>
      <c r="F132" t="s">
        <v>130</v>
      </c>
      <c r="G132" t="s">
        <v>139</v>
      </c>
      <c r="H132" t="s">
        <v>142</v>
      </c>
      <c r="I132">
        <v>27</v>
      </c>
      <c r="J132">
        <v>0.8</v>
      </c>
      <c r="K132">
        <v>931872.6</v>
      </c>
      <c r="L132">
        <v>6.23</v>
      </c>
      <c r="M132">
        <v>38.799999999999997</v>
      </c>
      <c r="N132">
        <v>307.2</v>
      </c>
      <c r="O132">
        <v>35.700000000000003</v>
      </c>
      <c r="P132">
        <v>27.1</v>
      </c>
      <c r="Q132">
        <v>26.4</v>
      </c>
      <c r="R132">
        <v>715075.2</v>
      </c>
      <c r="S132">
        <v>5.49</v>
      </c>
      <c r="T132">
        <v>36.1</v>
      </c>
      <c r="U132">
        <v>220.8</v>
      </c>
      <c r="V132">
        <v>46.2</v>
      </c>
      <c r="W132">
        <v>22.6</v>
      </c>
      <c r="X132">
        <v>27.6</v>
      </c>
      <c r="Y132">
        <v>661602.30000000005</v>
      </c>
      <c r="Z132">
        <v>5</v>
      </c>
      <c r="AA132">
        <v>30.3</v>
      </c>
      <c r="AB132">
        <v>192.6</v>
      </c>
      <c r="AC132">
        <v>54.4</v>
      </c>
      <c r="AD132">
        <v>18.3</v>
      </c>
      <c r="AE132">
        <v>31.2</v>
      </c>
      <c r="AF132">
        <v>458303.7</v>
      </c>
      <c r="AG132">
        <v>3.87</v>
      </c>
      <c r="AH132">
        <v>23.2</v>
      </c>
      <c r="AI132">
        <v>119</v>
      </c>
      <c r="AJ132">
        <v>60.9</v>
      </c>
      <c r="AK132">
        <v>13.4</v>
      </c>
      <c r="AL132">
        <v>32</v>
      </c>
      <c r="AM132">
        <v>413810.2</v>
      </c>
      <c r="AN132">
        <v>3.43</v>
      </c>
      <c r="AO132">
        <v>17.2</v>
      </c>
      <c r="AP132">
        <v>93.8</v>
      </c>
      <c r="AQ132">
        <v>68.099999999999994</v>
      </c>
      <c r="AR132">
        <v>12.6</v>
      </c>
      <c r="AS132">
        <v>27.6</v>
      </c>
      <c r="AT132">
        <v>319953.09999999998</v>
      </c>
      <c r="AU132">
        <v>2.9</v>
      </c>
      <c r="AV132">
        <v>14.3</v>
      </c>
      <c r="AW132">
        <v>62.9</v>
      </c>
      <c r="AX132">
        <v>77.900000000000006</v>
      </c>
      <c r="AY132">
        <v>11.3</v>
      </c>
      <c r="AZ132">
        <v>86</v>
      </c>
      <c r="BA132">
        <v>294676.8</v>
      </c>
      <c r="BB132">
        <v>2.5099999999999998</v>
      </c>
      <c r="BC132">
        <v>12.7</v>
      </c>
      <c r="BD132">
        <v>53.7</v>
      </c>
      <c r="BE132">
        <v>82.1</v>
      </c>
      <c r="BF132">
        <v>11.6</v>
      </c>
      <c r="BG132">
        <v>51</v>
      </c>
      <c r="BH132">
        <v>405023.5</v>
      </c>
      <c r="BI132">
        <v>2.96</v>
      </c>
      <c r="BJ132">
        <v>14</v>
      </c>
      <c r="BK132">
        <v>71.900000000000006</v>
      </c>
      <c r="BL132">
        <v>83.1</v>
      </c>
      <c r="BM132">
        <v>13.3</v>
      </c>
      <c r="BN132">
        <v>17.2</v>
      </c>
      <c r="BO132">
        <v>610010.1</v>
      </c>
      <c r="BP132">
        <v>3.49</v>
      </c>
      <c r="BQ132">
        <v>17.5</v>
      </c>
      <c r="BR132">
        <v>137.5</v>
      </c>
      <c r="BS132">
        <v>68.099999999999994</v>
      </c>
      <c r="BT132">
        <v>19.8</v>
      </c>
      <c r="BU132">
        <v>6.6</v>
      </c>
      <c r="BV132">
        <v>743350.1</v>
      </c>
      <c r="BW132">
        <v>4.41</v>
      </c>
      <c r="BX132">
        <v>26.1</v>
      </c>
      <c r="BY132">
        <v>202.4</v>
      </c>
      <c r="BZ132">
        <v>55</v>
      </c>
      <c r="CA132">
        <v>22.9</v>
      </c>
      <c r="CB132">
        <v>11.6</v>
      </c>
      <c r="CC132">
        <v>840779.8</v>
      </c>
      <c r="CD132">
        <v>5.08</v>
      </c>
      <c r="CE132">
        <v>31.7</v>
      </c>
      <c r="CF132">
        <v>239.8</v>
      </c>
      <c r="CG132">
        <v>48</v>
      </c>
      <c r="CH132">
        <v>24</v>
      </c>
      <c r="CI132">
        <v>9.6</v>
      </c>
      <c r="CJ132">
        <v>946636.7</v>
      </c>
      <c r="CK132">
        <v>5.9</v>
      </c>
      <c r="CL132">
        <v>34.299999999999997</v>
      </c>
      <c r="CM132">
        <v>284.3</v>
      </c>
      <c r="CN132">
        <v>42.5</v>
      </c>
      <c r="CP132" s="3">
        <v>204.8839893083333</v>
      </c>
      <c r="CQ132" s="3">
        <v>357.71587473362189</v>
      </c>
      <c r="CR132" s="3">
        <v>322.98543302087501</v>
      </c>
      <c r="CS132" s="3">
        <v>251.33925340010413</v>
      </c>
      <c r="CT132" s="3">
        <v>238.07175714163543</v>
      </c>
      <c r="CU132" s="7">
        <v>0.06</v>
      </c>
      <c r="CV132" s="7">
        <v>0.14000000000000001</v>
      </c>
      <c r="CW132" s="7">
        <v>7.0000000000000007E-2</v>
      </c>
      <c r="CX132" s="7">
        <v>0.04</v>
      </c>
      <c r="CY132" s="3">
        <f t="shared" si="6"/>
        <v>93.797531130612526</v>
      </c>
      <c r="CZ132">
        <v>1468</v>
      </c>
      <c r="DA132">
        <v>695</v>
      </c>
      <c r="DB132">
        <v>628010</v>
      </c>
      <c r="DC132">
        <v>1524</v>
      </c>
      <c r="DE132" t="s">
        <v>146</v>
      </c>
      <c r="DK132" s="5">
        <v>858.81945306979037</v>
      </c>
      <c r="DM132" s="5">
        <v>453.3216801259062</v>
      </c>
    </row>
    <row r="133" spans="1:117" x14ac:dyDescent="0.25">
      <c r="A133" t="s">
        <v>112</v>
      </c>
      <c r="B133" t="s">
        <v>130</v>
      </c>
      <c r="C133">
        <v>116.694194</v>
      </c>
      <c r="D133">
        <v>-31.651610999999999</v>
      </c>
      <c r="E133">
        <v>2016</v>
      </c>
      <c r="F133" t="s">
        <v>130</v>
      </c>
      <c r="G133" t="s">
        <v>139</v>
      </c>
      <c r="H133" t="s">
        <v>142</v>
      </c>
      <c r="I133">
        <v>25.5</v>
      </c>
      <c r="J133">
        <v>72.2</v>
      </c>
      <c r="K133">
        <v>799257.3</v>
      </c>
      <c r="L133">
        <v>5.8</v>
      </c>
      <c r="M133">
        <v>33.200000000000003</v>
      </c>
      <c r="N133">
        <v>245.4</v>
      </c>
      <c r="O133">
        <v>51.7</v>
      </c>
      <c r="P133">
        <v>25.7</v>
      </c>
      <c r="Q133">
        <v>0</v>
      </c>
      <c r="R133">
        <v>842035.7</v>
      </c>
      <c r="S133">
        <v>5.83</v>
      </c>
      <c r="T133">
        <v>34.1</v>
      </c>
      <c r="U133">
        <v>261.10000000000002</v>
      </c>
      <c r="V133">
        <v>41.2</v>
      </c>
      <c r="W133">
        <v>23.6</v>
      </c>
      <c r="X133">
        <v>69.599999999999994</v>
      </c>
      <c r="Y133">
        <v>616640.1</v>
      </c>
      <c r="Z133">
        <v>5.2</v>
      </c>
      <c r="AA133">
        <v>30.5</v>
      </c>
      <c r="AB133">
        <v>182.2</v>
      </c>
      <c r="AC133">
        <v>55.9</v>
      </c>
      <c r="AD133">
        <v>18.5</v>
      </c>
      <c r="AE133">
        <v>49.4</v>
      </c>
      <c r="AF133">
        <v>405974.4</v>
      </c>
      <c r="AG133">
        <v>3.41</v>
      </c>
      <c r="AH133">
        <v>21.7</v>
      </c>
      <c r="AI133">
        <v>97.6</v>
      </c>
      <c r="AJ133">
        <v>73.2</v>
      </c>
      <c r="AK133">
        <v>12.8</v>
      </c>
      <c r="AL133">
        <v>61.6</v>
      </c>
      <c r="AM133">
        <v>377979.5</v>
      </c>
      <c r="AN133">
        <v>2.4</v>
      </c>
      <c r="AO133">
        <v>14.9</v>
      </c>
      <c r="AP133">
        <v>74.3</v>
      </c>
      <c r="AQ133">
        <v>82.7</v>
      </c>
      <c r="AR133">
        <v>11.1</v>
      </c>
      <c r="AS133">
        <v>47.6</v>
      </c>
      <c r="AT133">
        <v>295357.8</v>
      </c>
      <c r="AU133">
        <v>2.39</v>
      </c>
      <c r="AV133">
        <v>12.7</v>
      </c>
      <c r="AW133">
        <v>51.4</v>
      </c>
      <c r="AX133">
        <v>84.7</v>
      </c>
      <c r="AY133">
        <v>9.6</v>
      </c>
      <c r="AZ133">
        <v>82.6</v>
      </c>
      <c r="BA133">
        <v>347828.7</v>
      </c>
      <c r="BB133">
        <v>3.06</v>
      </c>
      <c r="BC133">
        <v>11.1</v>
      </c>
      <c r="BD133">
        <v>61.6</v>
      </c>
      <c r="BE133">
        <v>83.9</v>
      </c>
      <c r="BF133">
        <v>10.1</v>
      </c>
      <c r="BG133">
        <v>69.599999999999994</v>
      </c>
      <c r="BH133">
        <v>400776.3</v>
      </c>
      <c r="BI133">
        <v>3.08</v>
      </c>
      <c r="BJ133">
        <v>12.7</v>
      </c>
      <c r="BK133">
        <v>70.099999999999994</v>
      </c>
      <c r="BL133">
        <v>84.1</v>
      </c>
      <c r="BM133">
        <v>10.6</v>
      </c>
      <c r="BN133">
        <v>26.6</v>
      </c>
      <c r="BO133">
        <v>553924.69999999995</v>
      </c>
      <c r="BP133">
        <v>3.41</v>
      </c>
      <c r="BQ133">
        <v>15.1</v>
      </c>
      <c r="BR133">
        <v>106.3</v>
      </c>
      <c r="BS133">
        <v>76.900000000000006</v>
      </c>
      <c r="BT133">
        <v>15.1</v>
      </c>
      <c r="BU133">
        <v>17.2</v>
      </c>
      <c r="BV133">
        <v>787814.8</v>
      </c>
      <c r="BW133">
        <v>4.83</v>
      </c>
      <c r="BX133">
        <v>21.7</v>
      </c>
      <c r="BY133">
        <v>186.7</v>
      </c>
      <c r="BZ133">
        <v>62.6</v>
      </c>
      <c r="CA133">
        <v>21.7</v>
      </c>
      <c r="CB133">
        <v>3</v>
      </c>
      <c r="CC133">
        <v>886585.8</v>
      </c>
      <c r="CD133">
        <v>4.97</v>
      </c>
      <c r="CE133">
        <v>30.9</v>
      </c>
      <c r="CF133">
        <v>253.9</v>
      </c>
      <c r="CG133">
        <v>42.6</v>
      </c>
      <c r="CH133">
        <v>23</v>
      </c>
      <c r="CI133">
        <v>16.399999999999999</v>
      </c>
      <c r="CJ133">
        <v>1003215.1</v>
      </c>
      <c r="CK133">
        <v>5.63</v>
      </c>
      <c r="CL133">
        <v>34</v>
      </c>
      <c r="CM133">
        <v>289.3</v>
      </c>
      <c r="CN133">
        <v>44.5</v>
      </c>
      <c r="CP133" s="3">
        <v>133.12695639999998</v>
      </c>
      <c r="CQ133" s="3">
        <v>265.94031967119787</v>
      </c>
      <c r="CR133" s="3">
        <v>244.36784107392498</v>
      </c>
      <c r="CS133" s="3">
        <v>168.48709864302083</v>
      </c>
      <c r="CT133" s="3">
        <v>219.627445633875</v>
      </c>
      <c r="CU133" s="7">
        <v>0.06</v>
      </c>
      <c r="CV133" s="7">
        <v>0.14000000000000001</v>
      </c>
      <c r="CW133" s="7">
        <v>7.0000000000000007E-2</v>
      </c>
      <c r="CX133" s="7">
        <v>0.04</v>
      </c>
      <c r="CY133" s="3">
        <f t="shared" si="6"/>
        <v>70.747111660987827</v>
      </c>
      <c r="CZ133">
        <v>1426</v>
      </c>
      <c r="DA133">
        <v>702</v>
      </c>
      <c r="DB133">
        <v>459370</v>
      </c>
      <c r="DC133">
        <v>1326</v>
      </c>
      <c r="DE133" t="s">
        <v>146</v>
      </c>
      <c r="DK133" s="5">
        <v>834.24832430348852</v>
      </c>
      <c r="DM133" s="5">
        <v>457.88750999767791</v>
      </c>
    </row>
    <row r="134" spans="1:117" x14ac:dyDescent="0.25">
      <c r="A134" t="s">
        <v>112</v>
      </c>
      <c r="B134" t="s">
        <v>130</v>
      </c>
      <c r="C134">
        <v>116.694194</v>
      </c>
      <c r="D134">
        <v>-31.651610999999999</v>
      </c>
      <c r="E134">
        <v>2017</v>
      </c>
      <c r="F134" t="s">
        <v>130</v>
      </c>
      <c r="G134" t="s">
        <v>139</v>
      </c>
      <c r="H134" t="s">
        <v>142</v>
      </c>
      <c r="I134">
        <v>25.5</v>
      </c>
      <c r="J134">
        <v>143.19999999999999</v>
      </c>
      <c r="K134">
        <v>909285.3</v>
      </c>
      <c r="L134">
        <v>5.15</v>
      </c>
      <c r="M134">
        <v>36.4</v>
      </c>
      <c r="N134">
        <v>289.10000000000002</v>
      </c>
      <c r="O134">
        <v>41.8</v>
      </c>
      <c r="P134">
        <v>23.5</v>
      </c>
      <c r="Q134">
        <v>125.6</v>
      </c>
      <c r="R134">
        <v>669010.19999999995</v>
      </c>
      <c r="S134">
        <v>5.03</v>
      </c>
      <c r="T134">
        <v>28.5</v>
      </c>
      <c r="U134">
        <v>176.3</v>
      </c>
      <c r="V134">
        <v>61</v>
      </c>
      <c r="W134">
        <v>21.6</v>
      </c>
      <c r="X134">
        <v>24.8</v>
      </c>
      <c r="Y134">
        <v>669921.69999999995</v>
      </c>
      <c r="Z134">
        <v>4.5599999999999996</v>
      </c>
      <c r="AA134">
        <v>28.5</v>
      </c>
      <c r="AB134">
        <v>183.7</v>
      </c>
      <c r="AC134">
        <v>58</v>
      </c>
      <c r="AD134">
        <v>18.899999999999999</v>
      </c>
      <c r="AE134">
        <v>0</v>
      </c>
      <c r="AF134">
        <v>540790</v>
      </c>
      <c r="AG134">
        <v>2.92</v>
      </c>
      <c r="AH134">
        <v>24.5</v>
      </c>
      <c r="AI134">
        <v>146.1</v>
      </c>
      <c r="AJ134">
        <v>55.2</v>
      </c>
      <c r="AK134">
        <v>14.6</v>
      </c>
      <c r="AL134">
        <v>18.2</v>
      </c>
      <c r="AM134">
        <v>381263.5</v>
      </c>
      <c r="AN134">
        <v>2.42</v>
      </c>
      <c r="AO134">
        <v>18</v>
      </c>
      <c r="AP134">
        <v>88.3</v>
      </c>
      <c r="AQ134">
        <v>70.2</v>
      </c>
      <c r="AR134">
        <v>11.9</v>
      </c>
      <c r="AS134">
        <v>26</v>
      </c>
      <c r="AT134">
        <v>320225.40000000002</v>
      </c>
      <c r="AU134">
        <v>2.37</v>
      </c>
      <c r="AV134">
        <v>13.5</v>
      </c>
      <c r="AW134">
        <v>69.099999999999994</v>
      </c>
      <c r="AX134">
        <v>71.3</v>
      </c>
      <c r="AY134">
        <v>11.5</v>
      </c>
      <c r="AZ134">
        <v>50.6</v>
      </c>
      <c r="BA134">
        <v>296930.7</v>
      </c>
      <c r="BB134">
        <v>4.18</v>
      </c>
      <c r="BC134">
        <v>13</v>
      </c>
      <c r="BD134">
        <v>56.8</v>
      </c>
      <c r="BE134">
        <v>83.6</v>
      </c>
      <c r="BF134">
        <v>11.5</v>
      </c>
      <c r="BG134">
        <v>72.2</v>
      </c>
      <c r="BH134">
        <v>400032.6</v>
      </c>
      <c r="BI134">
        <v>3.83</v>
      </c>
      <c r="BJ134">
        <v>13.8</v>
      </c>
      <c r="BK134">
        <v>73.7</v>
      </c>
      <c r="BL134">
        <v>82.2</v>
      </c>
      <c r="BM134">
        <v>13.5</v>
      </c>
      <c r="BN134">
        <v>43</v>
      </c>
      <c r="BO134">
        <v>512843.4</v>
      </c>
      <c r="BP134">
        <v>3.38</v>
      </c>
      <c r="BQ134">
        <v>17.5</v>
      </c>
      <c r="BR134">
        <v>106.3</v>
      </c>
      <c r="BS134">
        <v>74.099999999999994</v>
      </c>
      <c r="BT134">
        <v>16.5</v>
      </c>
      <c r="BU134">
        <v>12.4</v>
      </c>
      <c r="BV134">
        <v>738625.4</v>
      </c>
      <c r="BW134">
        <v>5.05</v>
      </c>
      <c r="BX134">
        <v>22.9</v>
      </c>
      <c r="BY134">
        <v>180.8</v>
      </c>
      <c r="BZ134">
        <v>61.8</v>
      </c>
      <c r="CA134">
        <v>22.8</v>
      </c>
      <c r="CB134">
        <v>11</v>
      </c>
      <c r="CC134">
        <v>865140.3</v>
      </c>
      <c r="CD134">
        <v>5.2</v>
      </c>
      <c r="CE134">
        <v>31.9</v>
      </c>
      <c r="CF134">
        <v>251.9</v>
      </c>
      <c r="CG134">
        <v>45.7</v>
      </c>
      <c r="CH134">
        <v>24.5</v>
      </c>
      <c r="CI134">
        <v>10.6</v>
      </c>
      <c r="CJ134">
        <v>939950.2</v>
      </c>
      <c r="CK134">
        <v>5.52</v>
      </c>
      <c r="CL134">
        <v>34.6</v>
      </c>
      <c r="CM134">
        <v>278.7</v>
      </c>
      <c r="CN134">
        <v>41.2</v>
      </c>
      <c r="CP134" s="3">
        <v>119.07146077499999</v>
      </c>
      <c r="CQ134" s="3">
        <v>235.14453102913441</v>
      </c>
      <c r="CR134" s="3">
        <v>211.74875985799997</v>
      </c>
      <c r="CS134" s="3">
        <v>150.26687985202918</v>
      </c>
      <c r="CT134" s="3">
        <v>166.58352970400003</v>
      </c>
      <c r="CU134" s="7">
        <v>0.06</v>
      </c>
      <c r="CV134" s="7">
        <v>0.14000000000000001</v>
      </c>
      <c r="CW134" s="7">
        <v>7.0000000000000007E-2</v>
      </c>
      <c r="CX134" s="7">
        <v>0.04</v>
      </c>
      <c r="CY134" s="3">
        <f t="shared" si="6"/>
        <v>60.935521019670105</v>
      </c>
      <c r="CZ134">
        <v>1498</v>
      </c>
      <c r="DA134">
        <v>652</v>
      </c>
      <c r="DB134">
        <v>501380</v>
      </c>
      <c r="DC134">
        <v>1435</v>
      </c>
      <c r="DE134" t="s">
        <v>146</v>
      </c>
      <c r="DK134" s="5">
        <v>876.37025933143457</v>
      </c>
      <c r="DM134" s="5">
        <v>425.27443948502281</v>
      </c>
    </row>
    <row r="135" spans="1:117" x14ac:dyDescent="0.25">
      <c r="A135" t="s">
        <v>112</v>
      </c>
      <c r="B135" t="s">
        <v>130</v>
      </c>
      <c r="C135">
        <v>116.694194</v>
      </c>
      <c r="D135">
        <v>-31.651610999999999</v>
      </c>
      <c r="E135">
        <v>2018</v>
      </c>
      <c r="F135" t="s">
        <v>130</v>
      </c>
      <c r="G135" t="s">
        <v>139</v>
      </c>
      <c r="H135" t="s">
        <v>142</v>
      </c>
      <c r="I135">
        <v>25.3</v>
      </c>
      <c r="J135">
        <v>85</v>
      </c>
      <c r="K135">
        <v>918104.8</v>
      </c>
      <c r="L135">
        <v>6.52</v>
      </c>
      <c r="M135">
        <v>35</v>
      </c>
      <c r="N135">
        <v>280</v>
      </c>
      <c r="O135">
        <v>46.7</v>
      </c>
      <c r="P135">
        <v>24.8</v>
      </c>
      <c r="Q135">
        <v>13</v>
      </c>
      <c r="R135">
        <v>750470.6</v>
      </c>
      <c r="S135">
        <v>5.4</v>
      </c>
      <c r="T135">
        <v>34</v>
      </c>
      <c r="U135">
        <v>224.3</v>
      </c>
      <c r="V135">
        <v>49.8</v>
      </c>
      <c r="W135">
        <v>24.2</v>
      </c>
      <c r="X135">
        <v>0.8</v>
      </c>
      <c r="Y135">
        <v>699865.5</v>
      </c>
      <c r="Z135">
        <v>5.09</v>
      </c>
      <c r="AA135">
        <v>31.6</v>
      </c>
      <c r="AB135">
        <v>215.1</v>
      </c>
      <c r="AC135">
        <v>48.3</v>
      </c>
      <c r="AD135">
        <v>19.100000000000001</v>
      </c>
      <c r="AE135">
        <v>2.2000000000000002</v>
      </c>
      <c r="AF135">
        <v>504979.20000000001</v>
      </c>
      <c r="AG135">
        <v>3.59</v>
      </c>
      <c r="AH135">
        <v>25</v>
      </c>
      <c r="AI135">
        <v>134.1</v>
      </c>
      <c r="AJ135">
        <v>59.9</v>
      </c>
      <c r="AK135">
        <v>15</v>
      </c>
      <c r="AL135">
        <v>38.200000000000003</v>
      </c>
      <c r="AM135">
        <v>406319.5</v>
      </c>
      <c r="AN135">
        <v>3.34</v>
      </c>
      <c r="AO135">
        <v>18.600000000000001</v>
      </c>
      <c r="AP135">
        <v>105.6</v>
      </c>
      <c r="AQ135">
        <v>58.7</v>
      </c>
      <c r="AR135">
        <v>11.6</v>
      </c>
      <c r="AS135">
        <v>52.8</v>
      </c>
      <c r="AT135">
        <v>281990.2</v>
      </c>
      <c r="AU135">
        <v>2.38</v>
      </c>
      <c r="AV135">
        <v>13.6</v>
      </c>
      <c r="AW135">
        <v>49.2</v>
      </c>
      <c r="AX135">
        <v>83.8</v>
      </c>
      <c r="AY135">
        <v>11.8</v>
      </c>
      <c r="AZ135">
        <v>105.8</v>
      </c>
      <c r="BA135">
        <v>327947.8</v>
      </c>
      <c r="BB135">
        <v>4.4800000000000004</v>
      </c>
      <c r="BC135">
        <v>13</v>
      </c>
      <c r="BD135">
        <v>60.7</v>
      </c>
      <c r="BE135">
        <v>83.7</v>
      </c>
      <c r="BF135">
        <v>10.8</v>
      </c>
      <c r="BG135">
        <v>93.8</v>
      </c>
      <c r="BH135">
        <v>416827.2</v>
      </c>
      <c r="BI135">
        <v>4.0599999999999996</v>
      </c>
      <c r="BJ135">
        <v>12.9</v>
      </c>
      <c r="BK135">
        <v>77.8</v>
      </c>
      <c r="BL135">
        <v>81.5</v>
      </c>
      <c r="BM135">
        <v>12.8</v>
      </c>
      <c r="BN135">
        <v>7.6</v>
      </c>
      <c r="BO135">
        <v>591342.5</v>
      </c>
      <c r="BP135">
        <v>3.37</v>
      </c>
      <c r="BQ135">
        <v>16.899999999999999</v>
      </c>
      <c r="BR135">
        <v>124.1</v>
      </c>
      <c r="BS135">
        <v>73.099999999999994</v>
      </c>
      <c r="BT135">
        <v>17.2</v>
      </c>
      <c r="BU135">
        <v>48.6</v>
      </c>
      <c r="BV135">
        <v>660700.1</v>
      </c>
      <c r="BW135">
        <v>4.93</v>
      </c>
      <c r="BX135">
        <v>22.1</v>
      </c>
      <c r="BY135">
        <v>159.19999999999999</v>
      </c>
      <c r="BZ135">
        <v>68.099999999999994</v>
      </c>
      <c r="CA135">
        <v>20</v>
      </c>
      <c r="CB135">
        <v>2</v>
      </c>
      <c r="CC135">
        <v>871803.7</v>
      </c>
      <c r="CD135">
        <v>5.59</v>
      </c>
      <c r="CE135">
        <v>29.6</v>
      </c>
      <c r="CF135">
        <v>233.7</v>
      </c>
      <c r="CG135">
        <v>48.8</v>
      </c>
      <c r="CH135">
        <v>24.4</v>
      </c>
      <c r="CI135">
        <v>2.6</v>
      </c>
      <c r="CJ135">
        <v>968663.5</v>
      </c>
      <c r="CK135">
        <v>5.75</v>
      </c>
      <c r="CL135">
        <v>34.4</v>
      </c>
      <c r="CM135">
        <v>288.3</v>
      </c>
      <c r="CN135">
        <v>41.8</v>
      </c>
      <c r="CP135" s="3">
        <v>149.45420497500001</v>
      </c>
      <c r="CQ135" s="3">
        <v>274.57347051901041</v>
      </c>
      <c r="CR135" s="3">
        <v>237.4236465424917</v>
      </c>
      <c r="CS135" s="3">
        <v>174.41377918435418</v>
      </c>
      <c r="CT135" s="3">
        <v>166.56083829114584</v>
      </c>
      <c r="CU135" s="7">
        <v>0.06</v>
      </c>
      <c r="CV135" s="7">
        <v>0.14000000000000001</v>
      </c>
      <c r="CW135" s="7">
        <v>7.0000000000000007E-2</v>
      </c>
      <c r="CX135" s="7">
        <v>0.04</v>
      </c>
      <c r="CY135" s="3">
        <f t="shared" si="6"/>
        <v>68.585116821640085</v>
      </c>
      <c r="CZ135">
        <v>1364</v>
      </c>
      <c r="DA135">
        <v>600</v>
      </c>
      <c r="DB135">
        <v>496060</v>
      </c>
      <c r="DC135">
        <v>1349</v>
      </c>
      <c r="DE135" t="s">
        <v>146</v>
      </c>
      <c r="DK135" s="5">
        <v>797.97665802942379</v>
      </c>
      <c r="DM135" s="5">
        <v>391.35684615186148</v>
      </c>
    </row>
    <row r="136" spans="1:117" x14ac:dyDescent="0.25">
      <c r="A136" t="s">
        <v>112</v>
      </c>
      <c r="B136" t="s">
        <v>130</v>
      </c>
      <c r="C136">
        <v>116.694194</v>
      </c>
      <c r="D136">
        <v>-31.651610999999999</v>
      </c>
      <c r="E136">
        <v>2019</v>
      </c>
      <c r="F136" t="s">
        <v>130</v>
      </c>
      <c r="G136" t="s">
        <v>139</v>
      </c>
      <c r="H136" t="s">
        <v>142</v>
      </c>
      <c r="I136">
        <v>25.2</v>
      </c>
      <c r="J136">
        <v>0.4</v>
      </c>
      <c r="K136">
        <v>988948.2</v>
      </c>
      <c r="L136">
        <v>6.16</v>
      </c>
      <c r="M136">
        <v>36.4</v>
      </c>
      <c r="N136">
        <v>302.5</v>
      </c>
      <c r="O136">
        <v>41</v>
      </c>
      <c r="P136">
        <v>25.7</v>
      </c>
      <c r="Q136">
        <v>1.8</v>
      </c>
      <c r="R136">
        <v>808584.1</v>
      </c>
      <c r="S136">
        <v>5.97</v>
      </c>
      <c r="T136">
        <v>35.9</v>
      </c>
      <c r="U136">
        <v>251.1</v>
      </c>
      <c r="V136">
        <v>42.4</v>
      </c>
      <c r="W136">
        <v>24</v>
      </c>
      <c r="X136">
        <v>1.4</v>
      </c>
      <c r="Y136">
        <v>660473.4</v>
      </c>
      <c r="Z136">
        <v>4.8899999999999997</v>
      </c>
      <c r="AA136">
        <v>31.7</v>
      </c>
      <c r="AB136">
        <v>202.9</v>
      </c>
      <c r="AC136">
        <v>47.8</v>
      </c>
      <c r="AD136">
        <v>18.399999999999999</v>
      </c>
      <c r="AE136">
        <v>21.6</v>
      </c>
      <c r="AF136">
        <v>524423.80000000005</v>
      </c>
      <c r="AG136">
        <v>4.32</v>
      </c>
      <c r="AH136">
        <v>23.7</v>
      </c>
      <c r="AI136">
        <v>138.9</v>
      </c>
      <c r="AJ136">
        <v>58</v>
      </c>
      <c r="AK136">
        <v>13.1</v>
      </c>
      <c r="AL136">
        <v>9.4</v>
      </c>
      <c r="AM136">
        <v>415363.5</v>
      </c>
      <c r="AN136">
        <v>2.71</v>
      </c>
      <c r="AO136">
        <v>17.5</v>
      </c>
      <c r="AP136">
        <v>97.8</v>
      </c>
      <c r="AQ136">
        <v>61</v>
      </c>
      <c r="AR136">
        <v>12</v>
      </c>
      <c r="AS136">
        <v>109.4</v>
      </c>
      <c r="AT136">
        <v>288443.8</v>
      </c>
      <c r="AU136">
        <v>4.3600000000000003</v>
      </c>
      <c r="AV136">
        <v>13.6</v>
      </c>
      <c r="AW136">
        <v>63.4</v>
      </c>
      <c r="AX136">
        <v>73.8</v>
      </c>
      <c r="AY136">
        <v>11.3</v>
      </c>
      <c r="AZ136">
        <v>47.6</v>
      </c>
      <c r="BA136">
        <v>331024.59999999998</v>
      </c>
      <c r="BB136">
        <v>2.37</v>
      </c>
      <c r="BC136">
        <v>13</v>
      </c>
      <c r="BD136">
        <v>57.1</v>
      </c>
      <c r="BE136">
        <v>84.1</v>
      </c>
      <c r="BF136">
        <v>11.5</v>
      </c>
      <c r="BG136">
        <v>54.6</v>
      </c>
      <c r="BH136">
        <v>446751.1</v>
      </c>
      <c r="BI136">
        <v>3.49</v>
      </c>
      <c r="BJ136">
        <v>13.6</v>
      </c>
      <c r="BK136">
        <v>90.5</v>
      </c>
      <c r="BL136">
        <v>77.400000000000006</v>
      </c>
      <c r="BM136">
        <v>14.5</v>
      </c>
      <c r="BN136">
        <v>14.8</v>
      </c>
      <c r="BO136">
        <v>619614.69999999995</v>
      </c>
      <c r="BP136">
        <v>3.6</v>
      </c>
      <c r="BQ136">
        <v>19.100000000000001</v>
      </c>
      <c r="BR136">
        <v>139.9</v>
      </c>
      <c r="BS136">
        <v>70.900000000000006</v>
      </c>
      <c r="BT136">
        <v>18</v>
      </c>
      <c r="BU136">
        <v>12.2</v>
      </c>
      <c r="BV136">
        <v>782847.4</v>
      </c>
      <c r="BW136">
        <v>5.14</v>
      </c>
      <c r="BX136">
        <v>25.9</v>
      </c>
      <c r="BY136">
        <v>202.5</v>
      </c>
      <c r="BZ136">
        <v>57.4</v>
      </c>
      <c r="CA136">
        <v>22.4</v>
      </c>
      <c r="CB136">
        <v>10.8</v>
      </c>
      <c r="CC136">
        <v>925796.8</v>
      </c>
      <c r="CD136">
        <v>5.99</v>
      </c>
      <c r="CE136">
        <v>31.6</v>
      </c>
      <c r="CF136">
        <v>267.89999999999998</v>
      </c>
      <c r="CG136">
        <v>42</v>
      </c>
      <c r="CH136">
        <v>27.2</v>
      </c>
      <c r="CI136">
        <v>0.4</v>
      </c>
      <c r="CJ136">
        <v>966338.5</v>
      </c>
      <c r="CK136">
        <v>5.82</v>
      </c>
      <c r="CL136">
        <v>37.200000000000003</v>
      </c>
      <c r="CM136">
        <v>309.3</v>
      </c>
      <c r="CN136">
        <v>36.200000000000003</v>
      </c>
      <c r="CP136" s="3">
        <v>151.20769046666666</v>
      </c>
      <c r="CQ136" s="3">
        <v>267.33967790703502</v>
      </c>
      <c r="CR136" s="3">
        <v>246.94953969827165</v>
      </c>
      <c r="CS136" s="3">
        <v>186.82042264949916</v>
      </c>
      <c r="CT136" s="3">
        <v>164.67061180174997</v>
      </c>
      <c r="CU136" s="7">
        <v>0.06</v>
      </c>
      <c r="CV136" s="7">
        <v>0.14000000000000001</v>
      </c>
      <c r="CW136" s="7">
        <v>7.0000000000000007E-2</v>
      </c>
      <c r="CX136" s="7">
        <v>0.04</v>
      </c>
      <c r="CY136" s="3">
        <f t="shared" si="6"/>
        <v>70.277570289715072</v>
      </c>
      <c r="CZ136">
        <v>1772</v>
      </c>
      <c r="DA136">
        <v>669</v>
      </c>
      <c r="DB136">
        <v>656390</v>
      </c>
      <c r="DC136">
        <v>1780</v>
      </c>
      <c r="DE136" t="s">
        <v>146</v>
      </c>
      <c r="DK136" s="5">
        <v>1036.667623187785</v>
      </c>
      <c r="DM136" s="5">
        <v>436.36288345932553</v>
      </c>
    </row>
    <row r="137" spans="1:117" x14ac:dyDescent="0.25">
      <c r="A137" t="s">
        <v>112</v>
      </c>
      <c r="B137" t="s">
        <v>130</v>
      </c>
      <c r="C137">
        <v>116.694194</v>
      </c>
      <c r="D137">
        <v>-31.651610999999999</v>
      </c>
      <c r="E137">
        <v>2020</v>
      </c>
      <c r="F137" t="s">
        <v>130</v>
      </c>
      <c r="G137" t="s">
        <v>139</v>
      </c>
      <c r="H137" t="s">
        <v>142</v>
      </c>
      <c r="I137">
        <v>25.6</v>
      </c>
      <c r="J137">
        <v>0.4</v>
      </c>
      <c r="K137">
        <v>965246.5</v>
      </c>
      <c r="L137">
        <v>6.54</v>
      </c>
      <c r="M137">
        <v>36.799999999999997</v>
      </c>
      <c r="N137">
        <v>301.3</v>
      </c>
      <c r="O137">
        <v>40.299999999999997</v>
      </c>
      <c r="P137">
        <v>26.3</v>
      </c>
      <c r="Q137">
        <v>47.4</v>
      </c>
      <c r="R137">
        <v>699760</v>
      </c>
      <c r="S137">
        <v>6.19</v>
      </c>
      <c r="T137">
        <v>34.5</v>
      </c>
      <c r="U137">
        <v>222.6</v>
      </c>
      <c r="V137">
        <v>48.2</v>
      </c>
      <c r="W137">
        <v>23.1</v>
      </c>
      <c r="X137">
        <v>7</v>
      </c>
      <c r="Y137">
        <v>657495.69999999995</v>
      </c>
      <c r="Z137">
        <v>4.97</v>
      </c>
      <c r="AA137">
        <v>29.2</v>
      </c>
      <c r="AB137">
        <v>193.3</v>
      </c>
      <c r="AC137">
        <v>53</v>
      </c>
      <c r="AD137">
        <v>20</v>
      </c>
      <c r="AE137">
        <v>6.8</v>
      </c>
      <c r="AF137">
        <v>475373.5</v>
      </c>
      <c r="AG137">
        <v>3.79</v>
      </c>
      <c r="AH137">
        <v>25.3</v>
      </c>
      <c r="AI137">
        <v>135.30000000000001</v>
      </c>
      <c r="AJ137">
        <v>55.3</v>
      </c>
      <c r="AK137">
        <v>14.1</v>
      </c>
      <c r="AL137">
        <v>31.8</v>
      </c>
      <c r="AM137">
        <v>377717.1</v>
      </c>
      <c r="AN137">
        <v>4.3600000000000003</v>
      </c>
      <c r="AO137">
        <v>17.399999999999999</v>
      </c>
      <c r="AP137">
        <v>95.3</v>
      </c>
      <c r="AQ137">
        <v>65.599999999999994</v>
      </c>
      <c r="AR137">
        <v>13.3</v>
      </c>
      <c r="AS137">
        <v>49.8</v>
      </c>
      <c r="AT137">
        <v>301380.8</v>
      </c>
      <c r="AU137">
        <v>3.62</v>
      </c>
      <c r="AV137">
        <v>14.7</v>
      </c>
      <c r="AW137">
        <v>63.6</v>
      </c>
      <c r="AX137">
        <v>74.900000000000006</v>
      </c>
      <c r="AY137">
        <v>11.3</v>
      </c>
      <c r="AZ137">
        <v>30.8</v>
      </c>
      <c r="BA137">
        <v>358362.7</v>
      </c>
      <c r="BB137">
        <v>3.13</v>
      </c>
      <c r="BC137">
        <v>12.7</v>
      </c>
      <c r="BD137">
        <v>67.7</v>
      </c>
      <c r="BE137">
        <v>81.3</v>
      </c>
      <c r="BF137">
        <v>11.6</v>
      </c>
      <c r="BG137">
        <v>50.6</v>
      </c>
      <c r="BH137">
        <v>433934.4</v>
      </c>
      <c r="BI137">
        <v>3.97</v>
      </c>
      <c r="BJ137">
        <v>14</v>
      </c>
      <c r="BK137">
        <v>82.7</v>
      </c>
      <c r="BL137">
        <v>79.5</v>
      </c>
      <c r="BM137">
        <v>14.2</v>
      </c>
      <c r="BN137">
        <v>20.2</v>
      </c>
      <c r="BO137">
        <v>571997.80000000005</v>
      </c>
      <c r="BP137">
        <v>4.7699999999999996</v>
      </c>
      <c r="BQ137">
        <v>19.2</v>
      </c>
      <c r="BR137">
        <v>132.1</v>
      </c>
      <c r="BS137">
        <v>69.099999999999994</v>
      </c>
      <c r="BT137">
        <v>18.600000000000001</v>
      </c>
      <c r="BU137">
        <v>1.8</v>
      </c>
      <c r="BV137">
        <v>772984.9</v>
      </c>
      <c r="BW137">
        <v>5</v>
      </c>
      <c r="BX137">
        <v>26.6</v>
      </c>
      <c r="BY137">
        <v>209.3</v>
      </c>
      <c r="BZ137">
        <v>50.8</v>
      </c>
      <c r="CA137">
        <v>19.2</v>
      </c>
      <c r="CB137">
        <v>45</v>
      </c>
      <c r="CC137">
        <v>797579.4</v>
      </c>
      <c r="CD137">
        <v>5.78</v>
      </c>
      <c r="CE137">
        <v>26.6</v>
      </c>
      <c r="CF137">
        <v>209.6</v>
      </c>
      <c r="CG137">
        <v>57.9</v>
      </c>
      <c r="CH137">
        <v>25.1</v>
      </c>
      <c r="CI137">
        <v>10.199999999999999</v>
      </c>
      <c r="CJ137">
        <v>997472.1</v>
      </c>
      <c r="CK137">
        <v>6.63</v>
      </c>
      <c r="CL137">
        <v>34.4</v>
      </c>
      <c r="CM137">
        <v>304.7</v>
      </c>
      <c r="CN137">
        <v>37.200000000000003</v>
      </c>
      <c r="CP137" s="3">
        <v>137.12151142499999</v>
      </c>
      <c r="CQ137" s="3">
        <v>183.94377395835087</v>
      </c>
      <c r="CR137" s="3">
        <v>171.50265380089249</v>
      </c>
      <c r="CS137" s="3">
        <v>153.47587761539251</v>
      </c>
      <c r="CT137" s="3">
        <v>168.62831412656331</v>
      </c>
      <c r="CU137" s="7">
        <v>0.06</v>
      </c>
      <c r="CV137" s="7">
        <v>0.14000000000000001</v>
      </c>
      <c r="CW137" s="7">
        <v>7.0000000000000007E-2</v>
      </c>
      <c r="CX137" s="7">
        <v>0.04</v>
      </c>
      <c r="CY137" s="3">
        <f t="shared" si="6"/>
        <v>52.535441967766019</v>
      </c>
      <c r="CZ137">
        <v>1005</v>
      </c>
      <c r="DA137">
        <v>646</v>
      </c>
      <c r="DB137">
        <v>524950</v>
      </c>
      <c r="DC137">
        <v>1056</v>
      </c>
      <c r="DE137" t="s">
        <v>146</v>
      </c>
      <c r="DK137" s="5">
        <v>587.95200976508124</v>
      </c>
      <c r="DM137" s="5">
        <v>421.36087102350422</v>
      </c>
    </row>
    <row r="138" spans="1:117" s="3" customFormat="1" x14ac:dyDescent="0.25">
      <c r="A138" s="3" t="s">
        <v>113</v>
      </c>
      <c r="B138" s="3" t="s">
        <v>131</v>
      </c>
      <c r="C138" s="1">
        <v>117.35693499999999</v>
      </c>
      <c r="D138" s="1">
        <v>-33.317464999999999</v>
      </c>
      <c r="E138" s="5">
        <v>2013</v>
      </c>
      <c r="F138" s="3" t="s">
        <v>131</v>
      </c>
      <c r="G138" s="3" t="s">
        <v>139</v>
      </c>
      <c r="H138" s="3" t="s">
        <v>142</v>
      </c>
      <c r="I138" s="3">
        <v>23</v>
      </c>
      <c r="J138" s="3">
        <v>26.2</v>
      </c>
      <c r="K138" s="3">
        <f>+AVERAGE(K139:K141)</f>
        <v>896668.33333333337</v>
      </c>
      <c r="L138" s="3">
        <v>12.57</v>
      </c>
      <c r="N138" s="3">
        <f>+AVERAGE(N139:N141)</f>
        <v>292.59999999999997</v>
      </c>
      <c r="O138" s="3">
        <v>53.1</v>
      </c>
      <c r="P138" s="3">
        <v>23.8</v>
      </c>
      <c r="Q138" s="3">
        <v>3.4</v>
      </c>
      <c r="R138" s="3">
        <f>+AVERAGE(R139:R141)</f>
        <v>768405.83333333337</v>
      </c>
      <c r="S138" s="3">
        <v>11.7</v>
      </c>
      <c r="U138" s="3">
        <f>+AVERAGE(U139:U141)</f>
        <v>245.66666666666666</v>
      </c>
      <c r="V138" s="3">
        <v>49.3</v>
      </c>
      <c r="W138" s="3">
        <v>18.899999999999999</v>
      </c>
      <c r="X138" s="3">
        <v>86</v>
      </c>
      <c r="Y138" s="3">
        <f>+AVERAGE(Y139:Y141)</f>
        <v>632416.30000000005</v>
      </c>
      <c r="Z138" s="3">
        <v>9.3800000000000008</v>
      </c>
      <c r="AB138" s="3">
        <f>+AVERAGE(AB139:AB141)</f>
        <v>196.23333333333335</v>
      </c>
      <c r="AC138" s="3">
        <v>67.3</v>
      </c>
      <c r="AD138" s="3">
        <v>19.399999999999999</v>
      </c>
      <c r="AE138" s="3">
        <v>14</v>
      </c>
      <c r="AF138" s="3">
        <f>+AVERAGE(AF139:AF141)</f>
        <v>424888.93333333335</v>
      </c>
      <c r="AG138" s="3">
        <v>5.28</v>
      </c>
      <c r="AI138" s="3">
        <f>+AVERAGE(AI139:AI141)</f>
        <v>111.53333333333335</v>
      </c>
      <c r="AJ138" s="3">
        <v>68.3</v>
      </c>
      <c r="AK138" s="3">
        <v>13.3</v>
      </c>
      <c r="AL138" s="3">
        <v>68</v>
      </c>
      <c r="AM138" s="3">
        <f>+AVERAGE(AM139:AM141)</f>
        <v>322351.73333333334</v>
      </c>
      <c r="AN138" s="3">
        <v>6.58</v>
      </c>
      <c r="AP138" s="3">
        <f>+AVERAGE(AP139:AP141)</f>
        <v>69.766666666666666</v>
      </c>
      <c r="AQ138" s="3">
        <v>80.3</v>
      </c>
      <c r="AR138" s="3">
        <v>10.9</v>
      </c>
      <c r="AS138" s="3">
        <v>17.600000000000001</v>
      </c>
      <c r="AT138" s="3">
        <f>+AVERAGE(AT139:AT141)</f>
        <v>275263.90000000002</v>
      </c>
      <c r="AU138" s="3">
        <v>6.07</v>
      </c>
      <c r="AW138" s="3">
        <f>+AVERAGE(AW139:AW141)</f>
        <v>56.199999999999996</v>
      </c>
      <c r="AX138" s="3">
        <v>81.5</v>
      </c>
      <c r="AY138" s="3">
        <v>9.8000000000000007</v>
      </c>
      <c r="AZ138" s="3">
        <v>51.8</v>
      </c>
      <c r="BA138" s="3">
        <f>+AVERAGE(BA139:BA141)</f>
        <v>296433.43333333335</v>
      </c>
      <c r="BB138" s="3">
        <v>7</v>
      </c>
      <c r="BD138" s="3">
        <f>+AVERAGE(BD139:BD141)</f>
        <v>58.266666666666659</v>
      </c>
      <c r="BE138" s="3">
        <v>80.8</v>
      </c>
      <c r="BF138" s="3">
        <v>12.6</v>
      </c>
      <c r="BG138" s="3">
        <v>55.4</v>
      </c>
      <c r="BH138" s="3">
        <f>+AVERAGE(BH139:BH141)</f>
        <v>380182.3666666667</v>
      </c>
      <c r="BI138" s="3">
        <v>6.14</v>
      </c>
      <c r="BK138" s="3">
        <f>+AVERAGE(BK139:BK141)</f>
        <v>75.999999999999986</v>
      </c>
      <c r="BL138" s="3">
        <v>82</v>
      </c>
      <c r="BM138" s="3">
        <v>13</v>
      </c>
      <c r="BN138" s="3">
        <v>86</v>
      </c>
      <c r="BO138" s="3">
        <f>+AVERAGE(BO139:BO141)</f>
        <v>533620.1</v>
      </c>
      <c r="BP138" s="3">
        <v>11.41</v>
      </c>
      <c r="BR138" s="3">
        <f>+AVERAGE(BR139:BR141)</f>
        <v>116.86666666666667</v>
      </c>
      <c r="BS138" s="3">
        <v>78</v>
      </c>
      <c r="BT138" s="3">
        <v>15.1</v>
      </c>
      <c r="BU138" s="3">
        <v>25</v>
      </c>
      <c r="BV138" s="3">
        <v>6.5</v>
      </c>
      <c r="BW138" s="3">
        <v>8.99</v>
      </c>
      <c r="BY138" s="3">
        <v>4.5999999999999996</v>
      </c>
      <c r="BZ138" s="3">
        <v>70.3</v>
      </c>
      <c r="CA138" s="3">
        <v>19.600000000000001</v>
      </c>
      <c r="CB138" s="3">
        <v>4</v>
      </c>
      <c r="CC138" s="3">
        <v>234423.6</v>
      </c>
      <c r="CD138" s="3">
        <v>13.69</v>
      </c>
      <c r="CF138" s="3">
        <v>121.6</v>
      </c>
      <c r="CG138" s="3">
        <v>55.2</v>
      </c>
      <c r="CH138" s="3">
        <v>21.6</v>
      </c>
      <c r="CI138" s="3">
        <v>1.2</v>
      </c>
      <c r="CJ138" s="3">
        <v>945252.8</v>
      </c>
      <c r="CK138" s="3">
        <v>11.17</v>
      </c>
      <c r="CM138" s="3">
        <v>286.10000000000002</v>
      </c>
      <c r="CN138" s="3">
        <v>49.1</v>
      </c>
      <c r="CP138" s="3">
        <v>344.25478384166667</v>
      </c>
      <c r="CQ138" s="3">
        <v>485.1324771412531</v>
      </c>
      <c r="CR138" s="3">
        <v>453.99912920229173</v>
      </c>
      <c r="CS138" s="3">
        <v>379.15555696741984</v>
      </c>
      <c r="CT138" s="3">
        <v>431.36433691804177</v>
      </c>
      <c r="CU138" s="7">
        <v>0.06</v>
      </c>
      <c r="CV138" s="7">
        <v>0.14000000000000001</v>
      </c>
      <c r="CW138" s="7">
        <v>7.0000000000000007E-2</v>
      </c>
      <c r="CX138" s="7">
        <v>0.04</v>
      </c>
      <c r="CY138" s="3">
        <f t="shared" si="6"/>
        <v>136.46328918123712</v>
      </c>
      <c r="CZ138" s="5">
        <v>1016</v>
      </c>
      <c r="DA138" s="5">
        <v>696</v>
      </c>
      <c r="DB138" s="5">
        <v>453990</v>
      </c>
      <c r="DC138" s="5">
        <v>1009</v>
      </c>
      <c r="DE138" t="s">
        <v>146</v>
      </c>
      <c r="DJ138"/>
      <c r="DK138" s="5">
        <v>458.05243002304911</v>
      </c>
      <c r="DL138"/>
      <c r="DM138" s="5">
        <v>300.48170118966578</v>
      </c>
    </row>
    <row r="139" spans="1:117" x14ac:dyDescent="0.25">
      <c r="A139" t="s">
        <v>113</v>
      </c>
      <c r="B139" t="s">
        <v>131</v>
      </c>
      <c r="C139">
        <v>117.35693499999999</v>
      </c>
      <c r="D139">
        <v>-33.317464999999999</v>
      </c>
      <c r="E139">
        <v>2014</v>
      </c>
      <c r="F139" t="s">
        <v>131</v>
      </c>
      <c r="G139" t="s">
        <v>139</v>
      </c>
      <c r="H139" t="s">
        <v>142</v>
      </c>
      <c r="I139">
        <v>23.7</v>
      </c>
      <c r="J139">
        <v>0</v>
      </c>
      <c r="K139">
        <v>966333.5</v>
      </c>
      <c r="L139">
        <v>12.05</v>
      </c>
      <c r="N139">
        <v>311</v>
      </c>
      <c r="O139">
        <v>48.8</v>
      </c>
      <c r="P139">
        <v>22.2</v>
      </c>
      <c r="Q139">
        <v>0</v>
      </c>
      <c r="R139">
        <v>784989.2</v>
      </c>
      <c r="S139">
        <v>12.53</v>
      </c>
      <c r="U139">
        <v>248.7</v>
      </c>
      <c r="V139">
        <v>50.4</v>
      </c>
      <c r="W139">
        <v>21</v>
      </c>
      <c r="X139">
        <v>5</v>
      </c>
      <c r="Y139">
        <v>656416.9</v>
      </c>
      <c r="Z139">
        <v>10.4</v>
      </c>
      <c r="AB139">
        <v>209.4</v>
      </c>
      <c r="AC139">
        <v>56</v>
      </c>
      <c r="AD139">
        <v>17.5</v>
      </c>
      <c r="AE139">
        <v>15</v>
      </c>
      <c r="AF139">
        <v>480713.5</v>
      </c>
      <c r="AG139">
        <v>6.01</v>
      </c>
      <c r="AI139">
        <v>129.6</v>
      </c>
      <c r="AJ139">
        <v>62.3</v>
      </c>
      <c r="AK139">
        <v>14.4</v>
      </c>
      <c r="AL139">
        <v>78.400000000000006</v>
      </c>
      <c r="AM139">
        <v>279807.2</v>
      </c>
      <c r="AN139">
        <v>7.73</v>
      </c>
      <c r="AP139">
        <v>58.4</v>
      </c>
      <c r="AQ139">
        <v>81.8</v>
      </c>
      <c r="AR139">
        <v>11</v>
      </c>
      <c r="AS139">
        <v>23.8</v>
      </c>
      <c r="AT139">
        <v>281984.2</v>
      </c>
      <c r="AU139">
        <v>7.25</v>
      </c>
      <c r="AW139">
        <v>57.4</v>
      </c>
      <c r="AX139">
        <v>77.900000000000006</v>
      </c>
      <c r="AY139">
        <v>10.8</v>
      </c>
      <c r="AZ139">
        <v>59</v>
      </c>
      <c r="BA139">
        <v>297788.59999999998</v>
      </c>
      <c r="BB139">
        <v>8.7899999999999991</v>
      </c>
      <c r="BD139">
        <v>59.3</v>
      </c>
      <c r="BE139">
        <v>81.900000000000006</v>
      </c>
      <c r="BF139">
        <v>12</v>
      </c>
      <c r="BG139">
        <v>55.6</v>
      </c>
      <c r="BH139">
        <v>395469.9</v>
      </c>
      <c r="BI139">
        <v>7.21</v>
      </c>
      <c r="BK139">
        <v>86.1</v>
      </c>
      <c r="BL139">
        <v>77</v>
      </c>
      <c r="BM139">
        <v>13.5</v>
      </c>
      <c r="BN139">
        <v>44.6</v>
      </c>
      <c r="BO139">
        <v>525405</v>
      </c>
      <c r="BP139">
        <v>8.42</v>
      </c>
      <c r="BR139">
        <v>116</v>
      </c>
      <c r="BS139">
        <v>76.2</v>
      </c>
      <c r="BT139">
        <v>16.2</v>
      </c>
      <c r="BU139">
        <v>38.799999999999997</v>
      </c>
      <c r="BV139">
        <v>723097.7</v>
      </c>
      <c r="BW139">
        <v>8.85</v>
      </c>
      <c r="BY139">
        <v>176.7</v>
      </c>
      <c r="BZ139">
        <v>67.400000000000006</v>
      </c>
      <c r="CA139">
        <v>18.7</v>
      </c>
      <c r="CB139">
        <v>17.2</v>
      </c>
      <c r="CC139">
        <v>809683.3</v>
      </c>
      <c r="CD139">
        <v>10.66</v>
      </c>
      <c r="CF139">
        <v>230.5</v>
      </c>
      <c r="CG139">
        <v>56.2</v>
      </c>
      <c r="CH139">
        <v>20.399999999999999</v>
      </c>
      <c r="CI139">
        <v>0.8</v>
      </c>
      <c r="CJ139">
        <v>940445.9</v>
      </c>
      <c r="CK139">
        <v>12.35</v>
      </c>
      <c r="CM139">
        <v>280.39999999999998</v>
      </c>
      <c r="CN139">
        <v>51.5</v>
      </c>
      <c r="CP139" s="3">
        <v>283.32452813333333</v>
      </c>
      <c r="CQ139" s="3">
        <v>368.2939243092531</v>
      </c>
      <c r="CR139" s="3">
        <v>330.59328943508331</v>
      </c>
      <c r="CS139" s="3">
        <v>279.4513129062604</v>
      </c>
      <c r="CT139" s="3">
        <v>325.40383910199995</v>
      </c>
      <c r="CU139" s="7">
        <v>0.06</v>
      </c>
      <c r="CV139" s="7">
        <v>0.14000000000000001</v>
      </c>
      <c r="CW139" s="7">
        <v>7.0000000000000007E-2</v>
      </c>
      <c r="CX139" s="7">
        <v>0.04</v>
      </c>
      <c r="CY139" s="3">
        <f t="shared" si="6"/>
        <v>100.95844144698508</v>
      </c>
      <c r="CZ139" s="5">
        <v>1638</v>
      </c>
      <c r="DA139" s="5">
        <v>683</v>
      </c>
      <c r="DB139" s="5">
        <v>566200</v>
      </c>
      <c r="DC139" s="5">
        <v>1514</v>
      </c>
      <c r="DE139" t="s">
        <v>146</v>
      </c>
      <c r="DK139" s="5">
        <v>738.47429171038823</v>
      </c>
      <c r="DM139" s="5">
        <v>294.86925562146803</v>
      </c>
    </row>
    <row r="140" spans="1:117" x14ac:dyDescent="0.25">
      <c r="A140" t="s">
        <v>113</v>
      </c>
      <c r="B140" t="s">
        <v>131</v>
      </c>
      <c r="C140">
        <v>117.35693499999999</v>
      </c>
      <c r="D140">
        <v>-33.317464999999999</v>
      </c>
      <c r="E140">
        <v>2015</v>
      </c>
      <c r="F140" t="s">
        <v>131</v>
      </c>
      <c r="G140" t="s">
        <v>139</v>
      </c>
      <c r="H140" t="s">
        <v>142</v>
      </c>
      <c r="I140">
        <v>23.7</v>
      </c>
      <c r="J140">
        <v>11.6</v>
      </c>
      <c r="K140">
        <v>949941.5</v>
      </c>
      <c r="L140">
        <v>13.16</v>
      </c>
      <c r="N140">
        <v>314.10000000000002</v>
      </c>
      <c r="O140">
        <v>45.7</v>
      </c>
      <c r="P140">
        <v>24.1</v>
      </c>
      <c r="Q140">
        <v>4.8</v>
      </c>
      <c r="R140">
        <v>712985.7</v>
      </c>
      <c r="S140">
        <v>11.87</v>
      </c>
      <c r="U140">
        <v>237.3</v>
      </c>
      <c r="V140">
        <v>51.1</v>
      </c>
      <c r="W140">
        <v>20</v>
      </c>
      <c r="X140">
        <v>18.600000000000001</v>
      </c>
      <c r="Y140">
        <v>653904.80000000005</v>
      </c>
      <c r="Z140">
        <v>10.52</v>
      </c>
      <c r="AB140">
        <v>199.2</v>
      </c>
      <c r="AC140">
        <v>59.6</v>
      </c>
      <c r="AD140">
        <v>16.2</v>
      </c>
      <c r="AE140">
        <v>49.6</v>
      </c>
      <c r="AF140">
        <v>435585.6</v>
      </c>
      <c r="AG140">
        <v>9.06</v>
      </c>
      <c r="AI140">
        <v>119.5</v>
      </c>
      <c r="AJ140">
        <v>66.599999999999994</v>
      </c>
      <c r="AK140">
        <v>12</v>
      </c>
      <c r="AL140">
        <v>33</v>
      </c>
      <c r="AM140">
        <v>351808.1</v>
      </c>
      <c r="AN140">
        <v>6.99</v>
      </c>
      <c r="AP140">
        <v>81</v>
      </c>
      <c r="AQ140">
        <v>74</v>
      </c>
      <c r="AR140">
        <v>11.8</v>
      </c>
      <c r="AS140">
        <v>48.8</v>
      </c>
      <c r="AT140">
        <v>275849.40000000002</v>
      </c>
      <c r="AU140">
        <v>7.23</v>
      </c>
      <c r="AW140">
        <v>61.2</v>
      </c>
      <c r="AX140">
        <v>79.3</v>
      </c>
      <c r="AY140">
        <v>10.7</v>
      </c>
      <c r="AZ140">
        <v>23.6</v>
      </c>
      <c r="BA140">
        <v>274717.40000000002</v>
      </c>
      <c r="BB140">
        <v>6.91</v>
      </c>
      <c r="BD140">
        <v>55.4</v>
      </c>
      <c r="BE140">
        <v>79.900000000000006</v>
      </c>
      <c r="BF140">
        <v>11</v>
      </c>
      <c r="BG140">
        <v>42.8</v>
      </c>
      <c r="BH140">
        <v>372725.2</v>
      </c>
      <c r="BI140">
        <v>7.15</v>
      </c>
      <c r="BK140">
        <v>72.3</v>
      </c>
      <c r="BL140">
        <v>80.599999999999994</v>
      </c>
      <c r="BM140">
        <v>12.8</v>
      </c>
      <c r="BN140">
        <v>23</v>
      </c>
      <c r="BO140">
        <v>562357.5</v>
      </c>
      <c r="BP140">
        <v>8.2899999999999991</v>
      </c>
      <c r="BR140">
        <v>134.69999999999999</v>
      </c>
      <c r="BS140">
        <v>67.099999999999994</v>
      </c>
      <c r="BT140">
        <v>18.5</v>
      </c>
      <c r="BU140">
        <v>6.6</v>
      </c>
      <c r="BV140">
        <v>731721.8</v>
      </c>
      <c r="BW140">
        <v>10.039999999999999</v>
      </c>
      <c r="BY140">
        <v>211.3</v>
      </c>
      <c r="BZ140">
        <v>56.9</v>
      </c>
      <c r="CA140">
        <v>20.100000000000001</v>
      </c>
      <c r="CB140">
        <v>22.8</v>
      </c>
      <c r="CC140">
        <v>829364.8</v>
      </c>
      <c r="CD140">
        <v>11.62</v>
      </c>
      <c r="CF140">
        <v>244.4</v>
      </c>
      <c r="CG140">
        <v>55</v>
      </c>
      <c r="CH140">
        <v>21.2</v>
      </c>
      <c r="CI140">
        <v>38</v>
      </c>
      <c r="CJ140">
        <v>934486.3</v>
      </c>
      <c r="CK140">
        <v>12.14</v>
      </c>
      <c r="CM140">
        <v>284.5</v>
      </c>
      <c r="CN140">
        <v>50.1</v>
      </c>
      <c r="CP140" s="3">
        <v>204.8839893083333</v>
      </c>
      <c r="CQ140" s="3">
        <v>357.71587473362189</v>
      </c>
      <c r="CR140" s="3">
        <v>322.98543302087501</v>
      </c>
      <c r="CS140" s="3">
        <v>251.33925340010413</v>
      </c>
      <c r="CT140" s="3">
        <v>238.07175714163543</v>
      </c>
      <c r="CU140" s="7">
        <v>0.06</v>
      </c>
      <c r="CV140" s="7">
        <v>0.14000000000000001</v>
      </c>
      <c r="CW140" s="7">
        <v>7.0000000000000007E-2</v>
      </c>
      <c r="CX140" s="7">
        <v>0.04</v>
      </c>
      <c r="CY140" s="3">
        <f t="shared" si="6"/>
        <v>93.797531130612526</v>
      </c>
      <c r="CZ140" s="5">
        <v>1468</v>
      </c>
      <c r="DA140" s="5">
        <v>695</v>
      </c>
      <c r="DB140" s="5">
        <v>628010</v>
      </c>
      <c r="DC140" s="5">
        <v>1524</v>
      </c>
      <c r="DE140" t="s">
        <v>146</v>
      </c>
      <c r="DK140" s="5">
        <v>661.8316607025946</v>
      </c>
      <c r="DM140" s="5">
        <v>300.04997460749672</v>
      </c>
    </row>
    <row r="141" spans="1:117" x14ac:dyDescent="0.25">
      <c r="A141" t="s">
        <v>113</v>
      </c>
      <c r="B141" t="s">
        <v>131</v>
      </c>
      <c r="C141">
        <v>117.35693499999999</v>
      </c>
      <c r="D141">
        <v>-33.317464999999999</v>
      </c>
      <c r="E141">
        <v>2016</v>
      </c>
      <c r="F141" t="s">
        <v>131</v>
      </c>
      <c r="G141" t="s">
        <v>139</v>
      </c>
      <c r="H141" t="s">
        <v>142</v>
      </c>
      <c r="I141">
        <v>22.6</v>
      </c>
      <c r="J141">
        <v>44.8</v>
      </c>
      <c r="K141">
        <v>773730</v>
      </c>
      <c r="L141">
        <v>12.18</v>
      </c>
      <c r="N141">
        <v>252.7</v>
      </c>
      <c r="O141">
        <v>58</v>
      </c>
      <c r="P141">
        <v>22.8</v>
      </c>
      <c r="Q141">
        <v>4.5999999999999996</v>
      </c>
      <c r="R141">
        <v>807242.6</v>
      </c>
      <c r="S141">
        <v>11.72</v>
      </c>
      <c r="U141">
        <v>251</v>
      </c>
      <c r="V141">
        <v>50.8</v>
      </c>
      <c r="W141">
        <v>20.7</v>
      </c>
      <c r="X141">
        <v>74.599999999999994</v>
      </c>
      <c r="Y141">
        <v>586927.19999999995</v>
      </c>
      <c r="Z141">
        <v>11.53</v>
      </c>
      <c r="AB141">
        <v>180.1</v>
      </c>
      <c r="AC141">
        <v>64.099999999999994</v>
      </c>
      <c r="AD141">
        <v>16.7</v>
      </c>
      <c r="AE141">
        <v>42.2</v>
      </c>
      <c r="AF141">
        <v>358367.7</v>
      </c>
      <c r="AG141">
        <v>6.45</v>
      </c>
      <c r="AI141">
        <v>85.5</v>
      </c>
      <c r="AJ141">
        <v>75.8</v>
      </c>
      <c r="AK141">
        <v>12.5</v>
      </c>
      <c r="AL141">
        <v>46.4</v>
      </c>
      <c r="AM141">
        <v>335439.90000000002</v>
      </c>
      <c r="AN141">
        <v>6.47</v>
      </c>
      <c r="AP141">
        <v>69.900000000000006</v>
      </c>
      <c r="AQ141">
        <v>79.099999999999994</v>
      </c>
      <c r="AR141">
        <v>10.7</v>
      </c>
      <c r="AS141">
        <v>34.6</v>
      </c>
      <c r="AT141">
        <v>267958.09999999998</v>
      </c>
      <c r="AU141">
        <v>6.91</v>
      </c>
      <c r="AW141">
        <v>50</v>
      </c>
      <c r="AX141">
        <v>81.5</v>
      </c>
      <c r="AY141">
        <v>9.1999999999999993</v>
      </c>
      <c r="AZ141">
        <v>24.6</v>
      </c>
      <c r="BA141">
        <v>316794.3</v>
      </c>
      <c r="BB141">
        <v>7.73</v>
      </c>
      <c r="BD141">
        <v>60.1</v>
      </c>
      <c r="BE141">
        <v>80.2</v>
      </c>
      <c r="BF141">
        <v>9.5</v>
      </c>
      <c r="BG141">
        <v>62.2</v>
      </c>
      <c r="BH141">
        <v>372352</v>
      </c>
      <c r="BI141">
        <v>7.82</v>
      </c>
      <c r="BK141">
        <v>69.599999999999994</v>
      </c>
      <c r="BL141">
        <v>79.599999999999994</v>
      </c>
      <c r="BM141">
        <v>9.8000000000000007</v>
      </c>
      <c r="BN141">
        <v>39.4</v>
      </c>
      <c r="BO141">
        <v>513097.8</v>
      </c>
      <c r="BP141">
        <v>7.92</v>
      </c>
      <c r="BR141">
        <v>99.9</v>
      </c>
      <c r="BS141">
        <v>77.099999999999994</v>
      </c>
      <c r="BT141">
        <v>13.6</v>
      </c>
      <c r="BU141">
        <v>18.600000000000001</v>
      </c>
      <c r="BV141">
        <v>716491.6</v>
      </c>
      <c r="BW141">
        <v>9.3699999999999992</v>
      </c>
      <c r="BY141">
        <v>170.6</v>
      </c>
      <c r="BZ141">
        <v>65.5</v>
      </c>
      <c r="CA141">
        <v>18.8</v>
      </c>
      <c r="CB141">
        <v>8.4</v>
      </c>
      <c r="CC141">
        <v>871458.4</v>
      </c>
      <c r="CD141">
        <v>7.56</v>
      </c>
      <c r="CF141">
        <v>240.6</v>
      </c>
      <c r="CG141">
        <v>52.4</v>
      </c>
      <c r="CH141">
        <v>20.100000000000001</v>
      </c>
      <c r="CI141">
        <v>51.4</v>
      </c>
      <c r="CJ141">
        <v>954771.3</v>
      </c>
      <c r="CK141">
        <v>9.6</v>
      </c>
      <c r="CM141">
        <v>271.10000000000002</v>
      </c>
      <c r="CN141">
        <v>52.3</v>
      </c>
      <c r="CP141" s="3">
        <v>133.12695639999998</v>
      </c>
      <c r="CQ141" s="3">
        <v>265.94031967119787</v>
      </c>
      <c r="CR141" s="3">
        <v>244.36784107392498</v>
      </c>
      <c r="CS141" s="3">
        <v>168.48709864302083</v>
      </c>
      <c r="CT141" s="3">
        <v>219.627445633875</v>
      </c>
      <c r="CU141" s="7">
        <v>0.06</v>
      </c>
      <c r="CV141" s="7">
        <v>0.14000000000000001</v>
      </c>
      <c r="CW141" s="7">
        <v>7.0000000000000007E-2</v>
      </c>
      <c r="CX141" s="7">
        <v>0.04</v>
      </c>
      <c r="CY141" s="3">
        <f t="shared" si="6"/>
        <v>70.747111660987827</v>
      </c>
      <c r="CZ141" s="5">
        <v>1426</v>
      </c>
      <c r="DA141" s="5">
        <v>702</v>
      </c>
      <c r="DB141" s="5">
        <v>459370</v>
      </c>
      <c r="DC141" s="5">
        <v>1326</v>
      </c>
      <c r="DE141" t="s">
        <v>146</v>
      </c>
      <c r="DK141" s="5">
        <v>642.89642245361028</v>
      </c>
      <c r="DM141" s="5">
        <v>303.07206068268016</v>
      </c>
    </row>
    <row r="142" spans="1:117" x14ac:dyDescent="0.25">
      <c r="A142" t="s">
        <v>113</v>
      </c>
      <c r="B142" t="s">
        <v>131</v>
      </c>
      <c r="C142">
        <v>117.35693499999999</v>
      </c>
      <c r="D142">
        <v>-33.317464999999999</v>
      </c>
      <c r="E142">
        <v>2017</v>
      </c>
      <c r="F142" t="s">
        <v>131</v>
      </c>
      <c r="G142" t="s">
        <v>139</v>
      </c>
      <c r="H142" t="s">
        <v>142</v>
      </c>
      <c r="I142">
        <v>22.9</v>
      </c>
      <c r="J142">
        <v>0.2</v>
      </c>
      <c r="K142">
        <v>966292.4</v>
      </c>
      <c r="L142">
        <v>8.75</v>
      </c>
      <c r="N142">
        <v>299.10000000000002</v>
      </c>
      <c r="O142">
        <v>45.5</v>
      </c>
      <c r="P142">
        <v>20.8</v>
      </c>
      <c r="Q142">
        <v>221.4</v>
      </c>
      <c r="R142">
        <v>667369.6</v>
      </c>
      <c r="S142">
        <v>10.38</v>
      </c>
      <c r="U142">
        <v>182.4</v>
      </c>
      <c r="V142">
        <v>62.5</v>
      </c>
      <c r="W142">
        <v>18.899999999999999</v>
      </c>
      <c r="X142">
        <v>37.4</v>
      </c>
      <c r="Y142">
        <v>617111.5</v>
      </c>
      <c r="Z142">
        <v>9.64</v>
      </c>
      <c r="AB142">
        <v>169.9</v>
      </c>
      <c r="AC142">
        <v>65.5</v>
      </c>
      <c r="AD142">
        <v>16.7</v>
      </c>
      <c r="AE142">
        <v>5.4</v>
      </c>
      <c r="AF142">
        <v>492955.6</v>
      </c>
      <c r="AG142">
        <v>6.03</v>
      </c>
      <c r="AI142">
        <v>127</v>
      </c>
      <c r="AJ142">
        <v>66.400000000000006</v>
      </c>
      <c r="AK142">
        <v>13.6</v>
      </c>
      <c r="AL142">
        <v>31.6</v>
      </c>
      <c r="AM142">
        <v>363162.3</v>
      </c>
      <c r="AN142">
        <v>6.49</v>
      </c>
      <c r="AP142">
        <v>86.5</v>
      </c>
      <c r="AQ142">
        <v>71.3</v>
      </c>
      <c r="AR142">
        <v>11.5</v>
      </c>
      <c r="AS142">
        <v>23.6</v>
      </c>
      <c r="AT142">
        <v>298790.40000000002</v>
      </c>
      <c r="AU142">
        <v>6.03</v>
      </c>
      <c r="AW142">
        <v>68.900000000000006</v>
      </c>
      <c r="AX142">
        <v>73.599999999999994</v>
      </c>
      <c r="AY142">
        <v>10.3</v>
      </c>
      <c r="AZ142">
        <v>64.8</v>
      </c>
      <c r="BA142">
        <v>281732.59999999998</v>
      </c>
      <c r="BB142">
        <v>9.08</v>
      </c>
      <c r="BD142">
        <v>55.8</v>
      </c>
      <c r="BE142">
        <v>80.900000000000006</v>
      </c>
      <c r="BF142">
        <v>11.4</v>
      </c>
      <c r="BG142">
        <v>61.2</v>
      </c>
      <c r="BH142">
        <v>379088.9</v>
      </c>
      <c r="BI142">
        <v>9.2200000000000006</v>
      </c>
      <c r="BK142">
        <v>75.2</v>
      </c>
      <c r="BL142">
        <v>78</v>
      </c>
      <c r="BM142">
        <v>12.5</v>
      </c>
      <c r="BN142">
        <v>43.8</v>
      </c>
      <c r="BO142">
        <v>497778.9</v>
      </c>
      <c r="BP142">
        <v>7.77</v>
      </c>
      <c r="BR142">
        <v>107.3</v>
      </c>
      <c r="BS142">
        <v>74</v>
      </c>
      <c r="BT142">
        <v>14.8</v>
      </c>
      <c r="BU142">
        <v>25</v>
      </c>
      <c r="BV142">
        <v>676919</v>
      </c>
      <c r="BW142">
        <v>10.130000000000001</v>
      </c>
      <c r="BY142">
        <v>165.8</v>
      </c>
      <c r="BZ142">
        <v>66.400000000000006</v>
      </c>
      <c r="CA142">
        <v>20</v>
      </c>
      <c r="CB142">
        <v>5.4</v>
      </c>
      <c r="CC142">
        <v>825436.2</v>
      </c>
      <c r="CD142">
        <v>12.02</v>
      </c>
      <c r="CF142">
        <v>247.8</v>
      </c>
      <c r="CG142">
        <v>52.2</v>
      </c>
      <c r="CH142">
        <v>21.2</v>
      </c>
      <c r="CI142">
        <v>13.6</v>
      </c>
      <c r="CJ142">
        <v>935260.4</v>
      </c>
      <c r="CK142">
        <v>11.12</v>
      </c>
      <c r="CM142">
        <v>278.2</v>
      </c>
      <c r="CN142">
        <v>50.4</v>
      </c>
      <c r="CP142" s="3">
        <v>119.07146077499999</v>
      </c>
      <c r="CQ142" s="3">
        <v>235.14453102913441</v>
      </c>
      <c r="CR142" s="3">
        <v>211.74875985799997</v>
      </c>
      <c r="CS142" s="3">
        <v>150.26687985202918</v>
      </c>
      <c r="CT142" s="3">
        <v>166.58352970400003</v>
      </c>
      <c r="CU142" s="7">
        <v>0.06</v>
      </c>
      <c r="CV142" s="7">
        <v>0.14000000000000001</v>
      </c>
      <c r="CW142" s="7">
        <v>7.0000000000000007E-2</v>
      </c>
      <c r="CX142" s="7">
        <v>0.04</v>
      </c>
      <c r="CY142" s="3">
        <f t="shared" si="6"/>
        <v>60.935521019670105</v>
      </c>
      <c r="CZ142" s="5">
        <v>1498</v>
      </c>
      <c r="DA142" s="5">
        <v>652</v>
      </c>
      <c r="DB142" s="5">
        <v>501380</v>
      </c>
      <c r="DC142" s="5">
        <v>1435</v>
      </c>
      <c r="DE142" t="s">
        <v>146</v>
      </c>
      <c r="DK142" s="5">
        <v>675.3568308804405</v>
      </c>
      <c r="DM142" s="5">
        <v>281.48573157422715</v>
      </c>
    </row>
    <row r="143" spans="1:117" x14ac:dyDescent="0.25">
      <c r="A143" t="s">
        <v>113</v>
      </c>
      <c r="B143" t="s">
        <v>131</v>
      </c>
      <c r="C143">
        <v>117.35693499999999</v>
      </c>
      <c r="D143">
        <v>-33.317464999999999</v>
      </c>
      <c r="E143">
        <v>2018</v>
      </c>
      <c r="F143" t="s">
        <v>131</v>
      </c>
      <c r="G143" t="s">
        <v>139</v>
      </c>
      <c r="H143" t="s">
        <v>142</v>
      </c>
      <c r="I143">
        <v>22</v>
      </c>
      <c r="J143">
        <v>32.200000000000003</v>
      </c>
      <c r="K143">
        <v>920814.1</v>
      </c>
      <c r="L143">
        <v>13.49</v>
      </c>
      <c r="N143">
        <v>287.10000000000002</v>
      </c>
      <c r="O143">
        <v>52.9</v>
      </c>
      <c r="P143">
        <v>22</v>
      </c>
      <c r="Q143">
        <v>16.2</v>
      </c>
      <c r="R143">
        <v>719335.6</v>
      </c>
      <c r="S143">
        <v>11.54</v>
      </c>
      <c r="U143">
        <v>223.5</v>
      </c>
      <c r="V143">
        <v>55.6</v>
      </c>
      <c r="W143">
        <v>20.8</v>
      </c>
      <c r="X143">
        <v>11.8</v>
      </c>
      <c r="Y143">
        <v>653440.19999999995</v>
      </c>
      <c r="Z143">
        <v>11.47</v>
      </c>
      <c r="AB143">
        <v>206.9</v>
      </c>
      <c r="AC143">
        <v>57.5</v>
      </c>
      <c r="AD143">
        <v>17.399999999999999</v>
      </c>
      <c r="AE143">
        <v>10</v>
      </c>
      <c r="AF143">
        <v>457383.8</v>
      </c>
      <c r="AG143">
        <v>8.0299999999999994</v>
      </c>
      <c r="AI143">
        <v>126.3</v>
      </c>
      <c r="AJ143">
        <v>64</v>
      </c>
      <c r="AK143">
        <v>13.5</v>
      </c>
      <c r="AL143">
        <v>26.2</v>
      </c>
      <c r="AM143">
        <v>382633.7</v>
      </c>
      <c r="AN143">
        <v>7.61</v>
      </c>
      <c r="AP143">
        <v>107.2</v>
      </c>
      <c r="AQ143">
        <v>62.9</v>
      </c>
      <c r="AR143">
        <v>10.8</v>
      </c>
      <c r="AS143">
        <v>70.400000000000006</v>
      </c>
      <c r="AT143">
        <v>259879.9</v>
      </c>
      <c r="AU143">
        <v>6.11</v>
      </c>
      <c r="AW143">
        <v>48.6</v>
      </c>
      <c r="AX143">
        <v>80.8</v>
      </c>
      <c r="AY143">
        <v>10.9</v>
      </c>
      <c r="AZ143">
        <v>83.8</v>
      </c>
      <c r="BA143">
        <v>305110.2</v>
      </c>
      <c r="BB143">
        <v>8.5399999999999991</v>
      </c>
      <c r="BD143">
        <v>63.1</v>
      </c>
      <c r="BE143">
        <v>80.400000000000006</v>
      </c>
      <c r="BF143">
        <v>10</v>
      </c>
      <c r="BG143">
        <v>65.8</v>
      </c>
      <c r="BH143">
        <v>394710.1</v>
      </c>
      <c r="BI143">
        <v>8.94</v>
      </c>
      <c r="BK143">
        <v>77.3</v>
      </c>
      <c r="BL143">
        <v>79.7</v>
      </c>
      <c r="BM143">
        <v>11.8</v>
      </c>
      <c r="BN143">
        <v>11.6</v>
      </c>
      <c r="BO143">
        <v>516704.2</v>
      </c>
      <c r="BP143">
        <v>8.15</v>
      </c>
      <c r="BR143">
        <v>109.5</v>
      </c>
      <c r="BS143">
        <v>74.3</v>
      </c>
      <c r="BT143">
        <v>15.5</v>
      </c>
      <c r="BU143">
        <v>43.2</v>
      </c>
      <c r="BV143">
        <v>622454.69999999995</v>
      </c>
      <c r="BW143">
        <v>10.02</v>
      </c>
      <c r="BY143">
        <v>154.1</v>
      </c>
      <c r="BZ143">
        <v>69.3</v>
      </c>
      <c r="CA143">
        <v>16.899999999999999</v>
      </c>
      <c r="CB143">
        <v>11.4</v>
      </c>
      <c r="CC143">
        <v>791960.9</v>
      </c>
      <c r="CD143">
        <v>10.61</v>
      </c>
      <c r="CF143">
        <v>212.9</v>
      </c>
      <c r="CG143">
        <v>57.8</v>
      </c>
      <c r="CH143">
        <v>21.5</v>
      </c>
      <c r="CI143">
        <v>8.6</v>
      </c>
      <c r="CJ143">
        <v>940512.2</v>
      </c>
      <c r="CK143">
        <v>10.43</v>
      </c>
      <c r="CM143">
        <v>281</v>
      </c>
      <c r="CN143">
        <v>49.7</v>
      </c>
      <c r="CP143" s="3">
        <v>149.45420497500001</v>
      </c>
      <c r="CQ143" s="3">
        <v>274.57347051901041</v>
      </c>
      <c r="CR143" s="3">
        <v>237.4236465424917</v>
      </c>
      <c r="CS143" s="3">
        <v>174.41377918435418</v>
      </c>
      <c r="CT143" s="3">
        <v>166.56083829114584</v>
      </c>
      <c r="CU143" s="7">
        <v>0.06</v>
      </c>
      <c r="CV143" s="7">
        <v>0.14000000000000001</v>
      </c>
      <c r="CW143" s="7">
        <v>7.0000000000000007E-2</v>
      </c>
      <c r="CX143" s="7">
        <v>0.04</v>
      </c>
      <c r="CY143" s="3">
        <f t="shared" si="6"/>
        <v>68.585116821640085</v>
      </c>
      <c r="CZ143" s="5">
        <v>1364</v>
      </c>
      <c r="DA143" s="5">
        <v>600</v>
      </c>
      <c r="DB143" s="5">
        <v>496060</v>
      </c>
      <c r="DC143" s="5">
        <v>1349</v>
      </c>
      <c r="DE143" t="s">
        <v>146</v>
      </c>
      <c r="DK143" s="5">
        <v>614.94440408606192</v>
      </c>
      <c r="DM143" s="5">
        <v>259.03594930143606</v>
      </c>
    </row>
    <row r="144" spans="1:117" x14ac:dyDescent="0.25">
      <c r="A144" t="s">
        <v>113</v>
      </c>
      <c r="B144" t="s">
        <v>131</v>
      </c>
      <c r="C144">
        <v>117.35693499999999</v>
      </c>
      <c r="D144">
        <v>-33.317464999999999</v>
      </c>
      <c r="E144">
        <v>2019</v>
      </c>
      <c r="F144" t="s">
        <v>131</v>
      </c>
      <c r="G144" t="s">
        <v>139</v>
      </c>
      <c r="H144" t="s">
        <v>142</v>
      </c>
      <c r="I144">
        <v>22.1</v>
      </c>
      <c r="J144">
        <v>0.6</v>
      </c>
      <c r="K144">
        <v>980212</v>
      </c>
      <c r="L144">
        <v>11.19</v>
      </c>
      <c r="N144">
        <v>300</v>
      </c>
      <c r="O144">
        <v>48.9</v>
      </c>
      <c r="P144">
        <v>22.4</v>
      </c>
      <c r="Q144">
        <v>0</v>
      </c>
      <c r="R144">
        <v>790372</v>
      </c>
      <c r="S144">
        <v>11.42</v>
      </c>
      <c r="U144">
        <v>249.7</v>
      </c>
      <c r="V144">
        <v>51.2</v>
      </c>
      <c r="W144">
        <v>20.100000000000001</v>
      </c>
      <c r="X144">
        <v>26.6</v>
      </c>
      <c r="Y144">
        <v>618411.5</v>
      </c>
      <c r="Z144">
        <v>10.42</v>
      </c>
      <c r="AB144">
        <v>183</v>
      </c>
      <c r="AC144">
        <v>61.1</v>
      </c>
      <c r="AD144">
        <v>16.2</v>
      </c>
      <c r="AE144">
        <v>9.6</v>
      </c>
      <c r="AF144">
        <v>487089.6</v>
      </c>
      <c r="AG144">
        <v>8.43</v>
      </c>
      <c r="AI144">
        <v>138.5</v>
      </c>
      <c r="AJ144">
        <v>61.7</v>
      </c>
      <c r="AK144">
        <v>11.9</v>
      </c>
      <c r="AL144">
        <v>15.8</v>
      </c>
      <c r="AM144">
        <v>385771.2</v>
      </c>
      <c r="AN144">
        <v>6.02</v>
      </c>
      <c r="AP144">
        <v>96.8</v>
      </c>
      <c r="AQ144">
        <v>66.2</v>
      </c>
      <c r="AR144">
        <v>11</v>
      </c>
      <c r="AS144">
        <v>112.4</v>
      </c>
      <c r="AT144">
        <v>286901.90000000002</v>
      </c>
      <c r="AU144">
        <v>8.61</v>
      </c>
      <c r="AW144">
        <v>69.599999999999994</v>
      </c>
      <c r="AX144">
        <v>72.599999999999994</v>
      </c>
      <c r="AY144">
        <v>10.6</v>
      </c>
      <c r="AZ144">
        <v>50.8</v>
      </c>
      <c r="BA144">
        <v>306662</v>
      </c>
      <c r="BB144">
        <v>6.29</v>
      </c>
      <c r="BD144">
        <v>57.6</v>
      </c>
      <c r="BE144">
        <v>81</v>
      </c>
      <c r="BF144">
        <v>10.8</v>
      </c>
      <c r="BG144">
        <v>65.8</v>
      </c>
      <c r="BH144">
        <v>436994.6</v>
      </c>
      <c r="BI144">
        <v>7.19</v>
      </c>
      <c r="BK144">
        <v>92.8</v>
      </c>
      <c r="BL144">
        <v>75.599999999999994</v>
      </c>
      <c r="BM144">
        <v>13.4</v>
      </c>
      <c r="BN144">
        <v>12.4</v>
      </c>
      <c r="BO144">
        <v>585506.4</v>
      </c>
      <c r="BP144">
        <v>7.61</v>
      </c>
      <c r="BR144">
        <v>132.9</v>
      </c>
      <c r="BS144">
        <v>71.400000000000006</v>
      </c>
      <c r="BT144">
        <v>15.9</v>
      </c>
      <c r="BU144">
        <v>31.8</v>
      </c>
      <c r="BV144">
        <v>735316.3</v>
      </c>
      <c r="BW144">
        <v>8.74</v>
      </c>
      <c r="BY144">
        <v>190.5</v>
      </c>
      <c r="BZ144">
        <v>62.9</v>
      </c>
      <c r="CA144">
        <v>19.3</v>
      </c>
      <c r="CB144">
        <v>8.1999999999999993</v>
      </c>
      <c r="CC144">
        <v>922764.9</v>
      </c>
      <c r="CD144">
        <v>11.29</v>
      </c>
      <c r="CF144">
        <v>266.89999999999998</v>
      </c>
      <c r="CG144">
        <v>49.3</v>
      </c>
      <c r="CH144">
        <v>24.2</v>
      </c>
      <c r="CI144">
        <v>2.6</v>
      </c>
      <c r="CJ144">
        <v>968103.5</v>
      </c>
      <c r="CK144">
        <v>10.29</v>
      </c>
      <c r="CM144">
        <v>311.39999999999998</v>
      </c>
      <c r="CN144">
        <v>43.3</v>
      </c>
      <c r="CP144" s="3">
        <v>151.20769046666666</v>
      </c>
      <c r="CQ144" s="3">
        <v>267.33967790703502</v>
      </c>
      <c r="CR144" s="3">
        <v>246.94953969827165</v>
      </c>
      <c r="CS144" s="3">
        <v>186.82042264949916</v>
      </c>
      <c r="CT144" s="3">
        <v>164.67061180174997</v>
      </c>
      <c r="CU144" s="7">
        <v>0.06</v>
      </c>
      <c r="CV144" s="7">
        <v>0.14000000000000001</v>
      </c>
      <c r="CW144" s="7">
        <v>7.0000000000000007E-2</v>
      </c>
      <c r="CX144" s="7">
        <v>0.04</v>
      </c>
      <c r="CY144" s="3">
        <f t="shared" si="6"/>
        <v>70.277570289715072</v>
      </c>
      <c r="CZ144" s="5">
        <v>1772</v>
      </c>
      <c r="DA144" s="5">
        <v>669</v>
      </c>
      <c r="DB144" s="5">
        <v>656390</v>
      </c>
      <c r="DC144" s="5">
        <v>1780</v>
      </c>
      <c r="DE144" t="s">
        <v>146</v>
      </c>
      <c r="DK144" s="5">
        <v>798.88671850476669</v>
      </c>
      <c r="DM144" s="5">
        <v>288.82508347110121</v>
      </c>
    </row>
    <row r="145" spans="1:117" x14ac:dyDescent="0.25">
      <c r="A145" t="s">
        <v>113</v>
      </c>
      <c r="B145" t="s">
        <v>131</v>
      </c>
      <c r="C145">
        <v>117.35693499999999</v>
      </c>
      <c r="D145">
        <v>-33.317464999999999</v>
      </c>
      <c r="E145">
        <v>2020</v>
      </c>
      <c r="F145" t="s">
        <v>131</v>
      </c>
      <c r="G145" t="s">
        <v>139</v>
      </c>
      <c r="H145" t="s">
        <v>142</v>
      </c>
      <c r="I145">
        <v>22.3</v>
      </c>
      <c r="J145">
        <v>0</v>
      </c>
      <c r="K145">
        <v>950343.2</v>
      </c>
      <c r="L145">
        <v>12.05</v>
      </c>
      <c r="N145">
        <v>302.39999999999998</v>
      </c>
      <c r="O145">
        <v>47.8</v>
      </c>
      <c r="P145">
        <v>22.6</v>
      </c>
      <c r="Q145">
        <v>43</v>
      </c>
      <c r="R145">
        <v>665184.9</v>
      </c>
      <c r="S145">
        <v>13.08</v>
      </c>
      <c r="U145">
        <v>218.9</v>
      </c>
      <c r="V145">
        <v>56.7</v>
      </c>
      <c r="W145">
        <v>20.399999999999999</v>
      </c>
      <c r="X145">
        <v>17.2</v>
      </c>
      <c r="Y145">
        <v>634027.9</v>
      </c>
      <c r="Z145">
        <v>10.28</v>
      </c>
      <c r="AB145">
        <v>190.7</v>
      </c>
      <c r="AC145">
        <v>59.1</v>
      </c>
      <c r="AD145">
        <v>17.600000000000001</v>
      </c>
      <c r="AE145">
        <v>5</v>
      </c>
      <c r="AF145">
        <v>461640</v>
      </c>
      <c r="AG145">
        <v>8.42</v>
      </c>
      <c r="AI145">
        <v>133.6</v>
      </c>
      <c r="AJ145">
        <v>61.7</v>
      </c>
      <c r="AK145">
        <v>13</v>
      </c>
      <c r="AL145">
        <v>36.799999999999997</v>
      </c>
      <c r="AM145">
        <v>357754</v>
      </c>
      <c r="AN145">
        <v>8.5399999999999991</v>
      </c>
      <c r="AP145">
        <v>94.1</v>
      </c>
      <c r="AQ145">
        <v>67.8</v>
      </c>
      <c r="AR145">
        <v>12.5</v>
      </c>
      <c r="AS145">
        <v>46.8</v>
      </c>
      <c r="AT145">
        <v>280125.8</v>
      </c>
      <c r="AU145">
        <v>7.78</v>
      </c>
      <c r="AW145">
        <v>66.599999999999994</v>
      </c>
      <c r="AX145">
        <v>73.3</v>
      </c>
      <c r="AY145">
        <v>10.8</v>
      </c>
      <c r="AZ145">
        <v>32</v>
      </c>
      <c r="BA145">
        <v>336832.4</v>
      </c>
      <c r="BB145">
        <v>7.43</v>
      </c>
      <c r="BD145">
        <v>66.599999999999994</v>
      </c>
      <c r="BE145">
        <v>79.099999999999994</v>
      </c>
      <c r="BF145">
        <v>10.6</v>
      </c>
      <c r="BG145">
        <v>30.4</v>
      </c>
      <c r="BH145">
        <v>429045</v>
      </c>
      <c r="BI145">
        <v>8.8000000000000007</v>
      </c>
      <c r="BK145">
        <v>88.1</v>
      </c>
      <c r="BL145">
        <v>76.8</v>
      </c>
      <c r="BM145">
        <v>12.8</v>
      </c>
      <c r="BN145">
        <v>39.799999999999997</v>
      </c>
      <c r="BO145">
        <v>554371.4</v>
      </c>
      <c r="BP145">
        <v>10.5</v>
      </c>
      <c r="BR145">
        <v>133.9</v>
      </c>
      <c r="BS145">
        <v>70.599999999999994</v>
      </c>
      <c r="BT145">
        <v>16.3</v>
      </c>
      <c r="BU145">
        <v>11.4</v>
      </c>
      <c r="BV145">
        <v>734395.9</v>
      </c>
      <c r="BW145">
        <v>10.18</v>
      </c>
      <c r="BY145">
        <v>200.6</v>
      </c>
      <c r="BZ145">
        <v>58.5</v>
      </c>
      <c r="CA145">
        <v>17.399999999999999</v>
      </c>
      <c r="CB145">
        <v>32</v>
      </c>
      <c r="CC145">
        <v>750865.2</v>
      </c>
      <c r="CD145">
        <v>10.87</v>
      </c>
      <c r="CF145">
        <v>207.7</v>
      </c>
      <c r="CG145">
        <v>58.1</v>
      </c>
      <c r="CH145">
        <v>21.5</v>
      </c>
      <c r="CI145">
        <v>0.2</v>
      </c>
      <c r="CJ145">
        <v>988987.8</v>
      </c>
      <c r="CK145">
        <v>13.12</v>
      </c>
      <c r="CM145">
        <v>309.39999999999998</v>
      </c>
      <c r="CN145">
        <v>45.5</v>
      </c>
      <c r="CP145" s="3">
        <v>137.12151142499999</v>
      </c>
      <c r="CQ145" s="3">
        <v>183.94377395835087</v>
      </c>
      <c r="CR145" s="3">
        <v>171.50265380089249</v>
      </c>
      <c r="CS145" s="3">
        <v>153.47587761539251</v>
      </c>
      <c r="CT145" s="3">
        <v>168.62831412656331</v>
      </c>
      <c r="CU145" s="7">
        <v>0.06</v>
      </c>
      <c r="CV145" s="7">
        <v>0.14000000000000001</v>
      </c>
      <c r="CW145" s="7">
        <v>7.0000000000000007E-2</v>
      </c>
      <c r="CX145" s="7">
        <v>0.04</v>
      </c>
      <c r="CY145" s="3">
        <f t="shared" si="6"/>
        <v>52.535441967766019</v>
      </c>
      <c r="CZ145" s="5">
        <v>1005</v>
      </c>
      <c r="DA145" s="5">
        <v>646</v>
      </c>
      <c r="DB145" s="5">
        <v>524950</v>
      </c>
      <c r="DC145" s="5">
        <v>1056</v>
      </c>
      <c r="DE145" t="s">
        <v>146</v>
      </c>
      <c r="DK145" s="5">
        <v>453.09320095783892</v>
      </c>
      <c r="DM145" s="5">
        <v>278.89537208121283</v>
      </c>
    </row>
    <row r="146" spans="1:117" s="3" customFormat="1" x14ac:dyDescent="0.25">
      <c r="A146" s="3" t="s">
        <v>156</v>
      </c>
      <c r="B146" s="3" t="s">
        <v>157</v>
      </c>
      <c r="C146" s="3">
        <v>117.47004</v>
      </c>
      <c r="D146" s="3">
        <v>-31.587308</v>
      </c>
      <c r="E146" s="5">
        <v>2013</v>
      </c>
      <c r="F146" s="3" t="s">
        <v>155</v>
      </c>
      <c r="G146" s="3" t="s">
        <v>141</v>
      </c>
      <c r="H146" s="3" t="s">
        <v>144</v>
      </c>
      <c r="I146" s="3">
        <f>+AVERAGE(I147:I149)</f>
        <v>23.188888888888886</v>
      </c>
      <c r="J146" s="3">
        <f t="shared" ref="J146:BU146" si="7">+AVERAGE(J147:J149)</f>
        <v>23.333333333333332</v>
      </c>
      <c r="K146" s="3">
        <f t="shared" si="7"/>
        <v>947912.2888888889</v>
      </c>
      <c r="L146" s="3">
        <f t="shared" si="7"/>
        <v>14.924444444444445</v>
      </c>
      <c r="M146" s="3">
        <f t="shared" si="7"/>
        <v>14.911111111111111</v>
      </c>
      <c r="N146" s="3">
        <f t="shared" si="7"/>
        <v>283.03333333333336</v>
      </c>
      <c r="O146" s="3">
        <f t="shared" si="7"/>
        <v>38.433333333333337</v>
      </c>
      <c r="P146" s="3">
        <f t="shared" si="7"/>
        <v>26.122222222222224</v>
      </c>
      <c r="Q146" s="3">
        <f t="shared" si="7"/>
        <v>13.977777777777776</v>
      </c>
      <c r="R146" s="3">
        <f t="shared" si="7"/>
        <v>768509.4</v>
      </c>
      <c r="S146" s="3">
        <f t="shared" si="7"/>
        <v>12.563333333333333</v>
      </c>
      <c r="T146" s="3">
        <f t="shared" si="7"/>
        <v>31.388888888888896</v>
      </c>
      <c r="U146" s="3">
        <f t="shared" si="7"/>
        <v>269.40000000000003</v>
      </c>
      <c r="V146" s="3">
        <f t="shared" si="7"/>
        <v>41.5</v>
      </c>
      <c r="W146" s="3">
        <f t="shared" si="7"/>
        <v>22.655555555555555</v>
      </c>
      <c r="X146" s="3">
        <f t="shared" si="7"/>
        <v>51.911111111111119</v>
      </c>
      <c r="Y146" s="3">
        <f t="shared" si="7"/>
        <v>648685.58888888895</v>
      </c>
      <c r="Z146" s="3">
        <f t="shared" si="7"/>
        <v>10.936666666666667</v>
      </c>
      <c r="AA146" s="3">
        <f t="shared" si="7"/>
        <v>26.488888888888891</v>
      </c>
      <c r="AB146" s="3">
        <f t="shared" si="7"/>
        <v>212.83333333333334</v>
      </c>
      <c r="AC146" s="3">
        <f t="shared" si="7"/>
        <v>54.1</v>
      </c>
      <c r="AD146" s="3">
        <f t="shared" si="7"/>
        <v>18.477777777777778</v>
      </c>
      <c r="AE146" s="3">
        <f t="shared" si="7"/>
        <v>36.888888888888886</v>
      </c>
      <c r="AF146" s="3">
        <f t="shared" si="7"/>
        <v>456743.67777777772</v>
      </c>
      <c r="AG146" s="3">
        <f t="shared" si="7"/>
        <v>11.563333333333334</v>
      </c>
      <c r="AH146" s="3">
        <f t="shared" si="7"/>
        <v>19.844444444444445</v>
      </c>
      <c r="AI146" s="3">
        <f t="shared" si="7"/>
        <v>142.26666666666665</v>
      </c>
      <c r="AJ146" s="3">
        <f t="shared" si="7"/>
        <v>62.29999999999999</v>
      </c>
      <c r="AK146" s="3">
        <f t="shared" si="7"/>
        <v>13.544444444444444</v>
      </c>
      <c r="AL146" s="3">
        <f t="shared" si="7"/>
        <v>22.977777777777778</v>
      </c>
      <c r="AM146" s="3">
        <f t="shared" si="7"/>
        <v>406931.93333333329</v>
      </c>
      <c r="AN146" s="3">
        <f t="shared" si="7"/>
        <v>8.8522222222222222</v>
      </c>
      <c r="AO146" s="3">
        <f t="shared" si="7"/>
        <v>15.1</v>
      </c>
      <c r="AP146" s="3">
        <f t="shared" si="7"/>
        <v>105.58888888888889</v>
      </c>
      <c r="AQ146" s="3">
        <f t="shared" si="7"/>
        <v>69.444444444444443</v>
      </c>
      <c r="AR146" s="3">
        <f t="shared" si="7"/>
        <v>12.266666666666667</v>
      </c>
      <c r="AS146" s="3">
        <f t="shared" si="7"/>
        <v>27.688888888888894</v>
      </c>
      <c r="AT146" s="3">
        <f t="shared" si="7"/>
        <v>323464.32222222222</v>
      </c>
      <c r="AU146" s="3">
        <f t="shared" si="7"/>
        <v>9.3155555555555551</v>
      </c>
      <c r="AV146" s="3">
        <f t="shared" si="7"/>
        <v>12.955555555555556</v>
      </c>
      <c r="AW146" s="3">
        <f t="shared" si="7"/>
        <v>77.911111111111111</v>
      </c>
      <c r="AX146" s="3">
        <f t="shared" si="7"/>
        <v>73.722222222222229</v>
      </c>
      <c r="AY146" s="3">
        <f t="shared" si="7"/>
        <v>10.688888888888888</v>
      </c>
      <c r="AZ146" s="3">
        <f t="shared" si="7"/>
        <v>46.666666666666664</v>
      </c>
      <c r="BA146" s="3">
        <f t="shared" si="7"/>
        <v>336830.44444444444</v>
      </c>
      <c r="BB146" s="3">
        <f t="shared" si="7"/>
        <v>8.7099999999999991</v>
      </c>
      <c r="BC146" s="3">
        <f t="shared" si="7"/>
        <v>11.755555555555555</v>
      </c>
      <c r="BD146" s="3">
        <f t="shared" si="7"/>
        <v>73.344444444444449</v>
      </c>
      <c r="BE146" s="3">
        <f t="shared" si="7"/>
        <v>77.900000000000006</v>
      </c>
      <c r="BF146" s="3">
        <f t="shared" si="7"/>
        <v>10.844444444444443</v>
      </c>
      <c r="BG146" s="3">
        <f t="shared" si="7"/>
        <v>44.333333333333336</v>
      </c>
      <c r="BH146" s="3">
        <f t="shared" si="7"/>
        <v>416540.26666666666</v>
      </c>
      <c r="BI146" s="3">
        <f t="shared" si="7"/>
        <v>8.7111111111111104</v>
      </c>
      <c r="BJ146" s="3">
        <f t="shared" si="7"/>
        <v>12.78888888888889</v>
      </c>
      <c r="BK146" s="3">
        <f t="shared" si="7"/>
        <v>82.566666666666663</v>
      </c>
      <c r="BL146" s="3">
        <f t="shared" si="7"/>
        <v>79.688888888888883</v>
      </c>
      <c r="BM146" s="3">
        <f t="shared" si="7"/>
        <v>12.355555555555554</v>
      </c>
      <c r="BN146" s="3">
        <f t="shared" si="7"/>
        <v>13.155555555555553</v>
      </c>
      <c r="BO146" s="3">
        <f t="shared" si="7"/>
        <v>585445.37777777773</v>
      </c>
      <c r="BP146" s="3">
        <f t="shared" si="7"/>
        <v>8.7877777777777784</v>
      </c>
      <c r="BQ146" s="3">
        <f t="shared" si="7"/>
        <v>16.333333333333332</v>
      </c>
      <c r="BR146" s="3">
        <f t="shared" si="7"/>
        <v>141.04444444444445</v>
      </c>
      <c r="BS146" s="3">
        <f t="shared" si="7"/>
        <v>66.62222222222222</v>
      </c>
      <c r="BT146" s="3">
        <f t="shared" si="7"/>
        <v>17.933333333333334</v>
      </c>
      <c r="BU146" s="3">
        <f t="shared" si="7"/>
        <v>9.8666666666666654</v>
      </c>
      <c r="BV146" s="3">
        <f t="shared" ref="BV146:CN146" si="8">+AVERAGE(BV147:BV149)</f>
        <v>781019.24444444443</v>
      </c>
      <c r="BW146" s="3">
        <f t="shared" si="8"/>
        <v>11.921111111111111</v>
      </c>
      <c r="BX146" s="3">
        <f t="shared" si="8"/>
        <v>24.766666666666669</v>
      </c>
      <c r="BY146" s="3">
        <f t="shared" si="8"/>
        <v>235.08888888888887</v>
      </c>
      <c r="BZ146" s="3">
        <f t="shared" si="8"/>
        <v>51.744444444444447</v>
      </c>
      <c r="CA146" s="3">
        <f t="shared" si="8"/>
        <v>22.066666666666666</v>
      </c>
      <c r="CB146" s="3">
        <f t="shared" si="8"/>
        <v>14.333333333333334</v>
      </c>
      <c r="CC146" s="3">
        <f t="shared" si="8"/>
        <v>751868.16666666663</v>
      </c>
      <c r="CD146" s="3">
        <f t="shared" si="8"/>
        <v>13.03</v>
      </c>
      <c r="CE146" s="3">
        <f t="shared" si="8"/>
        <v>26.666666666666668</v>
      </c>
      <c r="CF146" s="3">
        <f t="shared" si="8"/>
        <v>244.13333333333333</v>
      </c>
      <c r="CG146" s="3">
        <f t="shared" si="8"/>
        <v>43.366666666666674</v>
      </c>
      <c r="CH146" s="3">
        <f t="shared" si="8"/>
        <v>20.733333333333334</v>
      </c>
      <c r="CI146" s="3">
        <f t="shared" si="8"/>
        <v>14.733333333333334</v>
      </c>
      <c r="CJ146" s="3">
        <f t="shared" si="8"/>
        <v>1087486.8333333333</v>
      </c>
      <c r="CK146" s="3">
        <f t="shared" si="8"/>
        <v>15.333333333333334</v>
      </c>
      <c r="CL146" s="3">
        <f t="shared" si="8"/>
        <v>25.45</v>
      </c>
      <c r="CM146" s="3">
        <f t="shared" si="8"/>
        <v>305.20000000000005</v>
      </c>
      <c r="CN146" s="3">
        <f t="shared" si="8"/>
        <v>37.5</v>
      </c>
      <c r="CP146" s="3">
        <v>344.25478384166667</v>
      </c>
      <c r="CQ146" s="3">
        <v>485.1324771412531</v>
      </c>
      <c r="CR146" s="3">
        <v>453.99912920229173</v>
      </c>
      <c r="CS146" s="3">
        <v>379.15555696741984</v>
      </c>
      <c r="CT146" s="3">
        <v>431.36433691804177</v>
      </c>
      <c r="CU146" s="7">
        <v>0.06</v>
      </c>
      <c r="CV146" s="7">
        <v>0.14000000000000001</v>
      </c>
      <c r="CW146" s="7">
        <v>7.0000000000000007E-2</v>
      </c>
      <c r="CX146" s="7">
        <v>0.04</v>
      </c>
      <c r="CY146" s="3">
        <f t="shared" si="6"/>
        <v>136.46328918123712</v>
      </c>
      <c r="CZ146" s="5">
        <v>1198</v>
      </c>
      <c r="DA146" s="5">
        <v>1617</v>
      </c>
      <c r="DB146" s="5">
        <v>619230</v>
      </c>
      <c r="DC146" s="5">
        <v>1156</v>
      </c>
      <c r="DE146" s="3" t="s">
        <v>147</v>
      </c>
      <c r="DK146" s="3">
        <v>1206.2752533142884</v>
      </c>
      <c r="DL146"/>
      <c r="DM146" s="5">
        <v>1348.545298035674</v>
      </c>
    </row>
    <row r="147" spans="1:117" x14ac:dyDescent="0.25">
      <c r="A147" s="3" t="s">
        <v>156</v>
      </c>
      <c r="B147" s="3" t="s">
        <v>157</v>
      </c>
      <c r="C147" s="3">
        <v>117.47004</v>
      </c>
      <c r="D147" s="3">
        <v>-31.587308</v>
      </c>
      <c r="E147" s="5">
        <v>2014</v>
      </c>
      <c r="F147" s="3" t="s">
        <v>155</v>
      </c>
      <c r="G147" s="3" t="s">
        <v>141</v>
      </c>
      <c r="H147" s="3" t="s">
        <v>144</v>
      </c>
      <c r="I147" s="3">
        <f>+AVERAGE(I148:I150)</f>
        <v>23.766666666666666</v>
      </c>
      <c r="J147" s="3">
        <f t="shared" ref="J147:BU147" si="9">+AVERAGE(J148:J150)</f>
        <v>34.4</v>
      </c>
      <c r="K147" s="3">
        <f t="shared" si="9"/>
        <v>942405.46666666667</v>
      </c>
      <c r="L147" s="3">
        <f t="shared" si="9"/>
        <v>14.663333333333334</v>
      </c>
      <c r="M147" s="3">
        <f t="shared" si="9"/>
        <v>19.433333333333334</v>
      </c>
      <c r="N147" s="3">
        <f t="shared" si="9"/>
        <v>297.09999999999997</v>
      </c>
      <c r="O147" s="3">
        <f t="shared" si="9"/>
        <v>38.500000000000007</v>
      </c>
      <c r="P147" s="3">
        <f t="shared" si="9"/>
        <v>25.466666666666669</v>
      </c>
      <c r="Q147" s="3">
        <f t="shared" si="9"/>
        <v>34.733333333333334</v>
      </c>
      <c r="R147" s="3">
        <f t="shared" si="9"/>
        <v>749006.6</v>
      </c>
      <c r="S147" s="3">
        <f t="shared" si="9"/>
        <v>13.15</v>
      </c>
      <c r="T147" s="3">
        <f t="shared" si="9"/>
        <v>29.866666666666671</v>
      </c>
      <c r="U147" s="3">
        <f t="shared" si="9"/>
        <v>255.70000000000002</v>
      </c>
      <c r="V147" s="3">
        <f t="shared" si="9"/>
        <v>45.6</v>
      </c>
      <c r="W147" s="3">
        <f t="shared" si="9"/>
        <v>22.466666666666669</v>
      </c>
      <c r="X147" s="3">
        <f t="shared" si="9"/>
        <v>46.533333333333331</v>
      </c>
      <c r="Y147" s="3">
        <f t="shared" si="9"/>
        <v>657439.26666666672</v>
      </c>
      <c r="Z147" s="3">
        <f t="shared" si="9"/>
        <v>11.4</v>
      </c>
      <c r="AA147" s="3">
        <f t="shared" si="9"/>
        <v>26.266666666666669</v>
      </c>
      <c r="AB147" s="3">
        <f t="shared" si="9"/>
        <v>215.80000000000004</v>
      </c>
      <c r="AC147" s="3">
        <f t="shared" si="9"/>
        <v>54</v>
      </c>
      <c r="AD147" s="3">
        <f t="shared" si="9"/>
        <v>18.633333333333333</v>
      </c>
      <c r="AE147" s="3">
        <f t="shared" si="9"/>
        <v>34.066666666666663</v>
      </c>
      <c r="AF147" s="3">
        <f t="shared" si="9"/>
        <v>480500.33333333331</v>
      </c>
      <c r="AG147" s="3">
        <f t="shared" si="9"/>
        <v>11.060000000000002</v>
      </c>
      <c r="AH147" s="3">
        <f t="shared" si="9"/>
        <v>20.533333333333335</v>
      </c>
      <c r="AI147" s="3">
        <f t="shared" si="9"/>
        <v>150.20000000000002</v>
      </c>
      <c r="AJ147" s="3">
        <f t="shared" si="9"/>
        <v>60.1</v>
      </c>
      <c r="AK147" s="3">
        <f t="shared" si="9"/>
        <v>13.933333333333335</v>
      </c>
      <c r="AL147" s="3">
        <f t="shared" si="9"/>
        <v>19.133333333333333</v>
      </c>
      <c r="AM147" s="3">
        <f t="shared" si="9"/>
        <v>399895.5</v>
      </c>
      <c r="AN147" s="3">
        <f t="shared" si="9"/>
        <v>8.7566666666666677</v>
      </c>
      <c r="AO147" s="3">
        <f t="shared" si="9"/>
        <v>15.5</v>
      </c>
      <c r="AP147" s="3">
        <f t="shared" si="9"/>
        <v>106.36666666666667</v>
      </c>
      <c r="AQ147" s="3">
        <f t="shared" si="9"/>
        <v>68.033333333333346</v>
      </c>
      <c r="AR147" s="3">
        <f t="shared" si="9"/>
        <v>12.4</v>
      </c>
      <c r="AS147" s="3">
        <f t="shared" si="9"/>
        <v>22.866666666666671</v>
      </c>
      <c r="AT147" s="3">
        <f t="shared" si="9"/>
        <v>326326.8666666667</v>
      </c>
      <c r="AU147" s="3">
        <f t="shared" si="9"/>
        <v>9.0566666666666666</v>
      </c>
      <c r="AV147" s="3">
        <f t="shared" si="9"/>
        <v>13.166666666666666</v>
      </c>
      <c r="AW147" s="3">
        <f t="shared" si="9"/>
        <v>81.933333333333337</v>
      </c>
      <c r="AX147" s="3">
        <f t="shared" si="9"/>
        <v>70.766666666666666</v>
      </c>
      <c r="AY147" s="3">
        <f t="shared" si="9"/>
        <v>10.766666666666666</v>
      </c>
      <c r="AZ147" s="3">
        <f t="shared" si="9"/>
        <v>44.6</v>
      </c>
      <c r="BA147" s="3">
        <f t="shared" si="9"/>
        <v>336536.1333333333</v>
      </c>
      <c r="BB147" s="3">
        <f t="shared" si="9"/>
        <v>9</v>
      </c>
      <c r="BC147" s="3">
        <f t="shared" si="9"/>
        <v>11.766666666666666</v>
      </c>
      <c r="BD147" s="3">
        <f t="shared" si="9"/>
        <v>73.333333333333329</v>
      </c>
      <c r="BE147" s="3">
        <f t="shared" si="9"/>
        <v>78.400000000000006</v>
      </c>
      <c r="BF147" s="3">
        <f t="shared" si="9"/>
        <v>10.933333333333332</v>
      </c>
      <c r="BG147" s="3">
        <f t="shared" si="9"/>
        <v>46.6</v>
      </c>
      <c r="BH147" s="3">
        <f t="shared" si="9"/>
        <v>418978.2</v>
      </c>
      <c r="BI147" s="3">
        <f t="shared" si="9"/>
        <v>9.0533333333333346</v>
      </c>
      <c r="BJ147" s="3">
        <f t="shared" si="9"/>
        <v>12.766666666666666</v>
      </c>
      <c r="BK147" s="3">
        <f t="shared" si="9"/>
        <v>84.100000000000009</v>
      </c>
      <c r="BL147" s="3">
        <f t="shared" si="9"/>
        <v>79.466666666666654</v>
      </c>
      <c r="BM147" s="3">
        <f t="shared" si="9"/>
        <v>12.666666666666666</v>
      </c>
      <c r="BN147" s="3">
        <f t="shared" si="9"/>
        <v>18.466666666666665</v>
      </c>
      <c r="BO147" s="3">
        <f t="shared" si="9"/>
        <v>575429.33333333326</v>
      </c>
      <c r="BP147" s="3">
        <f t="shared" si="9"/>
        <v>9.0533333333333346</v>
      </c>
      <c r="BQ147" s="3">
        <f t="shared" si="9"/>
        <v>16.7</v>
      </c>
      <c r="BR147" s="3">
        <f t="shared" si="9"/>
        <v>139.03333333333333</v>
      </c>
      <c r="BS147" s="3">
        <f t="shared" si="9"/>
        <v>67.066666666666677</v>
      </c>
      <c r="BT147" s="3">
        <f t="shared" si="9"/>
        <v>17.600000000000001</v>
      </c>
      <c r="BU147" s="3">
        <f t="shared" si="9"/>
        <v>18.2</v>
      </c>
      <c r="BV147" s="3">
        <f t="shared" ref="BV147:BZ147" si="10">+AVERAGE(BV148:BV150)</f>
        <v>777512.2333333334</v>
      </c>
      <c r="BW147" s="3">
        <f t="shared" si="10"/>
        <v>12.233333333333334</v>
      </c>
      <c r="BX147" s="3">
        <f t="shared" si="10"/>
        <v>24.3</v>
      </c>
      <c r="BY147" s="3">
        <f t="shared" si="10"/>
        <v>230.16666666666666</v>
      </c>
      <c r="BZ147" s="3">
        <f t="shared" si="10"/>
        <v>53.033333333333331</v>
      </c>
      <c r="CA147">
        <v>21.5</v>
      </c>
      <c r="CB147">
        <v>11.6</v>
      </c>
      <c r="CC147">
        <v>473279.2</v>
      </c>
      <c r="CD147">
        <v>13.61</v>
      </c>
      <c r="CE147">
        <v>20.3</v>
      </c>
      <c r="CF147">
        <v>143.69999999999999</v>
      </c>
      <c r="CG147">
        <v>48.2</v>
      </c>
      <c r="CH147">
        <v>23.5</v>
      </c>
      <c r="CI147">
        <v>0.2</v>
      </c>
      <c r="CJ147">
        <v>1023488</v>
      </c>
      <c r="CK147">
        <v>16.149999999999999</v>
      </c>
      <c r="CM147">
        <v>350.1</v>
      </c>
      <c r="CN147">
        <v>40.4</v>
      </c>
      <c r="CP147" s="3">
        <v>283.32452813333333</v>
      </c>
      <c r="CQ147" s="3">
        <v>368.2939243092531</v>
      </c>
      <c r="CR147" s="3">
        <v>330.59328943508331</v>
      </c>
      <c r="CS147" s="3">
        <v>279.4513129062604</v>
      </c>
      <c r="CT147" s="3">
        <v>325.40383910199995</v>
      </c>
      <c r="CU147" s="7">
        <v>0.06</v>
      </c>
      <c r="CV147" s="7">
        <v>0.14000000000000001</v>
      </c>
      <c r="CW147" s="7">
        <v>7.0000000000000007E-2</v>
      </c>
      <c r="CX147" s="7">
        <v>0.04</v>
      </c>
      <c r="CY147" s="3">
        <f t="shared" si="6"/>
        <v>100.95844144698508</v>
      </c>
      <c r="CZ147" s="5">
        <v>2476</v>
      </c>
      <c r="DA147" s="5">
        <v>1792</v>
      </c>
      <c r="DB147" s="5">
        <v>885690</v>
      </c>
      <c r="DC147" s="5">
        <v>2342</v>
      </c>
      <c r="DE147" t="s">
        <v>147</v>
      </c>
      <c r="DK147" s="5">
        <v>2493.1031111904658</v>
      </c>
      <c r="DM147" s="5">
        <v>1494.4917588620456</v>
      </c>
    </row>
    <row r="148" spans="1:117" x14ac:dyDescent="0.25">
      <c r="A148" t="s">
        <v>156</v>
      </c>
      <c r="B148" t="s">
        <v>157</v>
      </c>
      <c r="C148">
        <v>117.47004</v>
      </c>
      <c r="D148">
        <v>-31.587308</v>
      </c>
      <c r="E148">
        <v>2015</v>
      </c>
      <c r="F148" t="s">
        <v>155</v>
      </c>
      <c r="G148" t="s">
        <v>141</v>
      </c>
      <c r="H148" t="s">
        <v>144</v>
      </c>
      <c r="I148">
        <v>26.6</v>
      </c>
      <c r="J148">
        <v>0</v>
      </c>
      <c r="K148">
        <v>910633.3</v>
      </c>
      <c r="L148">
        <v>14.9</v>
      </c>
      <c r="M148">
        <v>2.8</v>
      </c>
      <c r="N148">
        <v>348.9</v>
      </c>
      <c r="O148">
        <v>34.1</v>
      </c>
      <c r="P148">
        <v>27.2</v>
      </c>
      <c r="Q148">
        <v>5.8</v>
      </c>
      <c r="R148">
        <v>701952.9</v>
      </c>
      <c r="S148">
        <v>9.14</v>
      </c>
      <c r="T148">
        <v>32.700000000000003</v>
      </c>
      <c r="U148">
        <v>239.6</v>
      </c>
      <c r="V148">
        <v>41.3</v>
      </c>
      <c r="W148">
        <v>22.3</v>
      </c>
      <c r="X148">
        <v>40.200000000000003</v>
      </c>
      <c r="Y148">
        <v>664529.80000000005</v>
      </c>
      <c r="Z148">
        <v>7.24</v>
      </c>
      <c r="AA148">
        <v>25.6</v>
      </c>
      <c r="AB148">
        <v>203.3</v>
      </c>
      <c r="AC148">
        <v>53.3</v>
      </c>
      <c r="AD148">
        <v>18.399999999999999</v>
      </c>
      <c r="AE148">
        <v>29.2</v>
      </c>
      <c r="AF148">
        <v>473850.2</v>
      </c>
      <c r="AG148">
        <v>13.25</v>
      </c>
      <c r="AH148">
        <v>19.8</v>
      </c>
      <c r="AI148">
        <v>155.69999999999999</v>
      </c>
      <c r="AJ148">
        <v>57.5</v>
      </c>
      <c r="AK148">
        <v>13.8</v>
      </c>
      <c r="AL148">
        <v>14.4</v>
      </c>
      <c r="AM148">
        <v>431016.7</v>
      </c>
      <c r="AN148">
        <v>10.48</v>
      </c>
      <c r="AO148">
        <v>15.3</v>
      </c>
      <c r="AP148">
        <v>125.2</v>
      </c>
      <c r="AQ148">
        <v>62.9</v>
      </c>
      <c r="AR148">
        <v>13.3</v>
      </c>
      <c r="AS148">
        <v>24</v>
      </c>
      <c r="AT148">
        <v>333876.7</v>
      </c>
      <c r="AU148">
        <v>10.68</v>
      </c>
      <c r="AV148">
        <v>13.6</v>
      </c>
      <c r="AW148">
        <v>88.2</v>
      </c>
      <c r="AX148">
        <v>70.7</v>
      </c>
      <c r="AY148">
        <v>11.9</v>
      </c>
      <c r="AZ148">
        <v>55.6</v>
      </c>
      <c r="BA148">
        <v>315876.7</v>
      </c>
      <c r="BB148">
        <v>8.68</v>
      </c>
      <c r="BC148">
        <v>12.7</v>
      </c>
      <c r="BD148">
        <v>79.7</v>
      </c>
      <c r="BE148">
        <v>72.900000000000006</v>
      </c>
      <c r="BF148">
        <v>11.9</v>
      </c>
      <c r="BG148">
        <v>36.799999999999997</v>
      </c>
      <c r="BH148">
        <v>423933.9</v>
      </c>
      <c r="BI148">
        <v>9.2200000000000006</v>
      </c>
      <c r="BJ148">
        <v>13.7</v>
      </c>
      <c r="BK148">
        <v>86.9</v>
      </c>
      <c r="BL148">
        <v>77.599999999999994</v>
      </c>
      <c r="BM148">
        <v>14.2</v>
      </c>
      <c r="BN148">
        <v>6.6</v>
      </c>
      <c r="BO148">
        <v>621731.19999999995</v>
      </c>
      <c r="BP148">
        <v>9.74</v>
      </c>
      <c r="BQ148">
        <v>18.100000000000001</v>
      </c>
      <c r="BR148">
        <v>166.9</v>
      </c>
      <c r="BS148">
        <v>58.9</v>
      </c>
      <c r="BT148">
        <v>20.6</v>
      </c>
      <c r="BU148">
        <v>3.2</v>
      </c>
      <c r="BV148">
        <v>768497.7</v>
      </c>
      <c r="BW148">
        <v>11.58</v>
      </c>
      <c r="BX148">
        <v>27.4</v>
      </c>
      <c r="BY148">
        <v>249.8</v>
      </c>
      <c r="BZ148">
        <v>47.4</v>
      </c>
      <c r="CA148">
        <v>22.9</v>
      </c>
      <c r="CB148">
        <v>31.4</v>
      </c>
      <c r="CC148">
        <v>861035.3</v>
      </c>
      <c r="CD148">
        <v>13.11</v>
      </c>
      <c r="CE148">
        <v>29.3</v>
      </c>
      <c r="CF148">
        <v>282.2</v>
      </c>
      <c r="CG148">
        <v>45.2</v>
      </c>
      <c r="CH148">
        <v>15.9</v>
      </c>
      <c r="CI148">
        <v>8.4</v>
      </c>
      <c r="CJ148">
        <v>1248842.3999999999</v>
      </c>
      <c r="CK148">
        <v>15.43</v>
      </c>
      <c r="CL148">
        <v>20.9</v>
      </c>
      <c r="CM148">
        <v>234.8</v>
      </c>
      <c r="CN148">
        <v>30.4</v>
      </c>
      <c r="CP148" s="3">
        <v>204.8839893083333</v>
      </c>
      <c r="CQ148" s="3">
        <v>357.71587473362189</v>
      </c>
      <c r="CR148" s="3">
        <v>322.98543302087501</v>
      </c>
      <c r="CS148" s="3">
        <v>251.33925340010413</v>
      </c>
      <c r="CT148" s="3">
        <v>238.07175714163543</v>
      </c>
      <c r="CU148" s="7">
        <v>0.06</v>
      </c>
      <c r="CV148" s="7">
        <v>0.14000000000000001</v>
      </c>
      <c r="CW148" s="7">
        <v>7.0000000000000007E-2</v>
      </c>
      <c r="CX148" s="7">
        <v>0.04</v>
      </c>
      <c r="CY148" s="3">
        <f t="shared" si="6"/>
        <v>93.797531130612526</v>
      </c>
      <c r="CZ148" s="5">
        <v>2505</v>
      </c>
      <c r="DA148" s="5">
        <v>2062</v>
      </c>
      <c r="DB148" s="5">
        <v>1031750</v>
      </c>
      <c r="DC148" s="5">
        <v>2372</v>
      </c>
      <c r="DE148" t="s">
        <v>147</v>
      </c>
      <c r="DK148" s="5">
        <v>2522.3034303441505</v>
      </c>
      <c r="DM148" s="5">
        <v>1719.6662984227332</v>
      </c>
    </row>
    <row r="149" spans="1:117" x14ac:dyDescent="0.25">
      <c r="A149" t="s">
        <v>156</v>
      </c>
      <c r="B149" t="s">
        <v>157</v>
      </c>
      <c r="C149">
        <v>117.47004</v>
      </c>
      <c r="D149">
        <v>-31.587308</v>
      </c>
      <c r="E149">
        <v>2016</v>
      </c>
      <c r="F149" t="s">
        <v>155</v>
      </c>
      <c r="G149" t="s">
        <v>141</v>
      </c>
      <c r="H149" t="s">
        <v>144</v>
      </c>
      <c r="I149">
        <v>19.2</v>
      </c>
      <c r="J149">
        <v>35.6</v>
      </c>
      <c r="K149">
        <v>990698.1</v>
      </c>
      <c r="L149">
        <v>15.21</v>
      </c>
      <c r="M149">
        <v>22.5</v>
      </c>
      <c r="N149">
        <v>203.1</v>
      </c>
      <c r="O149">
        <v>42.7</v>
      </c>
      <c r="P149">
        <v>25.7</v>
      </c>
      <c r="Q149">
        <v>1.4</v>
      </c>
      <c r="R149">
        <v>854568.7</v>
      </c>
      <c r="S149">
        <v>15.4</v>
      </c>
      <c r="T149">
        <v>31.6</v>
      </c>
      <c r="U149">
        <v>312.89999999999998</v>
      </c>
      <c r="V149">
        <v>37.6</v>
      </c>
      <c r="W149">
        <v>23.2</v>
      </c>
      <c r="X149">
        <v>69</v>
      </c>
      <c r="Y149">
        <v>624087.69999999995</v>
      </c>
      <c r="Z149">
        <v>14.17</v>
      </c>
      <c r="AA149">
        <v>27.6</v>
      </c>
      <c r="AB149">
        <v>219.4</v>
      </c>
      <c r="AC149">
        <v>55</v>
      </c>
      <c r="AD149">
        <v>18.399999999999999</v>
      </c>
      <c r="AE149">
        <v>47.4</v>
      </c>
      <c r="AF149">
        <v>415880.5</v>
      </c>
      <c r="AG149">
        <v>10.38</v>
      </c>
      <c r="AH149">
        <v>19.2</v>
      </c>
      <c r="AI149">
        <v>120.9</v>
      </c>
      <c r="AJ149">
        <v>69.3</v>
      </c>
      <c r="AK149">
        <v>12.9</v>
      </c>
      <c r="AL149">
        <v>35.4</v>
      </c>
      <c r="AM149">
        <v>389883.6</v>
      </c>
      <c r="AN149">
        <v>7.32</v>
      </c>
      <c r="AO149">
        <v>14.5</v>
      </c>
      <c r="AP149">
        <v>85.2</v>
      </c>
      <c r="AQ149">
        <v>77.400000000000006</v>
      </c>
      <c r="AR149">
        <v>11.1</v>
      </c>
      <c r="AS149">
        <v>36.200000000000003</v>
      </c>
      <c r="AT149">
        <v>310189.40000000002</v>
      </c>
      <c r="AU149">
        <v>8.2100000000000009</v>
      </c>
      <c r="AV149">
        <v>12.1</v>
      </c>
      <c r="AW149">
        <v>63.6</v>
      </c>
      <c r="AX149">
        <v>79.7</v>
      </c>
      <c r="AY149">
        <v>9.4</v>
      </c>
      <c r="AZ149">
        <v>39.799999999999997</v>
      </c>
      <c r="BA149">
        <v>358078.5</v>
      </c>
      <c r="BB149">
        <v>8.4499999999999993</v>
      </c>
      <c r="BC149">
        <v>10.8</v>
      </c>
      <c r="BD149">
        <v>67</v>
      </c>
      <c r="BE149">
        <v>82.4</v>
      </c>
      <c r="BF149">
        <v>9.6999999999999993</v>
      </c>
      <c r="BG149">
        <v>49.6</v>
      </c>
      <c r="BH149">
        <v>406708.7</v>
      </c>
      <c r="BI149">
        <v>7.86</v>
      </c>
      <c r="BJ149">
        <v>11.9</v>
      </c>
      <c r="BK149">
        <v>76.7</v>
      </c>
      <c r="BL149">
        <v>82</v>
      </c>
      <c r="BM149">
        <v>10.199999999999999</v>
      </c>
      <c r="BN149">
        <v>14.4</v>
      </c>
      <c r="BO149">
        <v>559175.6</v>
      </c>
      <c r="BP149">
        <v>7.57</v>
      </c>
      <c r="BQ149">
        <v>14.2</v>
      </c>
      <c r="BR149">
        <v>117.2</v>
      </c>
      <c r="BS149">
        <v>73.900000000000006</v>
      </c>
      <c r="BT149">
        <v>15.6</v>
      </c>
      <c r="BU149">
        <v>8.1999999999999993</v>
      </c>
      <c r="BV149">
        <v>797047.8</v>
      </c>
      <c r="BW149">
        <v>11.95</v>
      </c>
      <c r="BX149">
        <v>22.6</v>
      </c>
      <c r="BY149">
        <v>225.3</v>
      </c>
      <c r="BZ149">
        <v>54.8</v>
      </c>
      <c r="CA149">
        <v>21.8</v>
      </c>
      <c r="CB149">
        <v>0</v>
      </c>
      <c r="CC149">
        <v>921290</v>
      </c>
      <c r="CD149">
        <v>12.37</v>
      </c>
      <c r="CE149">
        <v>30.4</v>
      </c>
      <c r="CF149">
        <v>306.5</v>
      </c>
      <c r="CG149">
        <v>36.700000000000003</v>
      </c>
      <c r="CH149">
        <v>22.8</v>
      </c>
      <c r="CI149">
        <v>35.6</v>
      </c>
      <c r="CJ149">
        <v>990130.1</v>
      </c>
      <c r="CK149">
        <v>14.42</v>
      </c>
      <c r="CL149">
        <v>30</v>
      </c>
      <c r="CM149">
        <v>330.7</v>
      </c>
      <c r="CN149">
        <v>41.7</v>
      </c>
      <c r="CP149" s="3">
        <v>133.12695639999998</v>
      </c>
      <c r="CQ149" s="3">
        <v>265.94031967119787</v>
      </c>
      <c r="CR149" s="3">
        <v>244.36784107392498</v>
      </c>
      <c r="CS149" s="3">
        <v>168.48709864302083</v>
      </c>
      <c r="CT149" s="3">
        <v>219.627445633875</v>
      </c>
      <c r="CU149" s="7">
        <v>0.06</v>
      </c>
      <c r="CV149" s="7">
        <v>0.14000000000000001</v>
      </c>
      <c r="CW149" s="7">
        <v>7.0000000000000007E-2</v>
      </c>
      <c r="CX149" s="7">
        <v>0.04</v>
      </c>
      <c r="CY149" s="3">
        <f t="shared" si="6"/>
        <v>70.747111660987827</v>
      </c>
      <c r="CZ149" s="5">
        <v>2387</v>
      </c>
      <c r="DA149" s="5">
        <v>1552</v>
      </c>
      <c r="DB149" s="5">
        <v>722700</v>
      </c>
      <c r="DC149" s="5">
        <v>2010</v>
      </c>
      <c r="DE149" t="s">
        <v>147</v>
      </c>
      <c r="DK149" s="5">
        <v>2403.4883386153642</v>
      </c>
      <c r="DM149" s="5">
        <v>1294.3366125858788</v>
      </c>
    </row>
    <row r="150" spans="1:117" x14ac:dyDescent="0.25">
      <c r="A150" t="s">
        <v>156</v>
      </c>
      <c r="B150" t="s">
        <v>157</v>
      </c>
      <c r="C150">
        <v>117.47004</v>
      </c>
      <c r="D150">
        <v>-31.587308</v>
      </c>
      <c r="E150">
        <v>2017</v>
      </c>
      <c r="F150" t="s">
        <v>155</v>
      </c>
      <c r="G150" t="s">
        <v>141</v>
      </c>
      <c r="H150" t="s">
        <v>144</v>
      </c>
      <c r="I150">
        <v>25.5</v>
      </c>
      <c r="J150">
        <v>67.599999999999994</v>
      </c>
      <c r="K150">
        <v>925885</v>
      </c>
      <c r="L150">
        <v>13.88</v>
      </c>
      <c r="M150">
        <v>33</v>
      </c>
      <c r="N150">
        <v>339.3</v>
      </c>
      <c r="O150">
        <v>38.700000000000003</v>
      </c>
      <c r="P150">
        <v>23.5</v>
      </c>
      <c r="Q150">
        <v>97</v>
      </c>
      <c r="R150">
        <v>690498.2</v>
      </c>
      <c r="S150">
        <v>14.91</v>
      </c>
      <c r="T150">
        <v>25.3</v>
      </c>
      <c r="U150">
        <v>214.6</v>
      </c>
      <c r="V150">
        <v>57.9</v>
      </c>
      <c r="W150">
        <v>21.9</v>
      </c>
      <c r="X150">
        <v>30.4</v>
      </c>
      <c r="Y150">
        <v>683700.3</v>
      </c>
      <c r="Z150">
        <v>12.79</v>
      </c>
      <c r="AA150">
        <v>25.6</v>
      </c>
      <c r="AB150">
        <v>224.7</v>
      </c>
      <c r="AC150">
        <v>53.7</v>
      </c>
      <c r="AD150">
        <v>19.100000000000001</v>
      </c>
      <c r="AE150">
        <v>25.6</v>
      </c>
      <c r="AF150">
        <v>551770.30000000005</v>
      </c>
      <c r="AG150">
        <v>9.5500000000000007</v>
      </c>
      <c r="AH150">
        <v>22.6</v>
      </c>
      <c r="AI150">
        <v>174</v>
      </c>
      <c r="AJ150">
        <v>53.5</v>
      </c>
      <c r="AK150">
        <v>15.1</v>
      </c>
      <c r="AL150">
        <v>7.6</v>
      </c>
      <c r="AM150">
        <v>378786.2</v>
      </c>
      <c r="AN150">
        <v>8.4700000000000006</v>
      </c>
      <c r="AO150">
        <v>16.7</v>
      </c>
      <c r="AP150">
        <v>108.7</v>
      </c>
      <c r="AQ150">
        <v>63.8</v>
      </c>
      <c r="AR150">
        <v>12.8</v>
      </c>
      <c r="AS150">
        <v>8.4</v>
      </c>
      <c r="AT150">
        <v>334914.5</v>
      </c>
      <c r="AU150">
        <v>8.2799999999999994</v>
      </c>
      <c r="AV150">
        <v>13.8</v>
      </c>
      <c r="AW150">
        <v>94</v>
      </c>
      <c r="AX150">
        <v>61.9</v>
      </c>
      <c r="AY150">
        <v>11</v>
      </c>
      <c r="AZ150">
        <v>38.4</v>
      </c>
      <c r="BA150">
        <v>335653.2</v>
      </c>
      <c r="BB150">
        <v>9.8699999999999992</v>
      </c>
      <c r="BC150">
        <v>11.8</v>
      </c>
      <c r="BD150">
        <v>73.3</v>
      </c>
      <c r="BE150">
        <v>79.900000000000006</v>
      </c>
      <c r="BF150">
        <v>11.2</v>
      </c>
      <c r="BG150">
        <v>53.4</v>
      </c>
      <c r="BH150">
        <v>426292</v>
      </c>
      <c r="BI150">
        <v>10.08</v>
      </c>
      <c r="BJ150">
        <v>12.7</v>
      </c>
      <c r="BK150">
        <v>88.7</v>
      </c>
      <c r="BL150">
        <v>78.8</v>
      </c>
      <c r="BM150">
        <v>13.6</v>
      </c>
      <c r="BN150">
        <v>34.4</v>
      </c>
      <c r="BO150">
        <v>545381.19999999995</v>
      </c>
      <c r="BP150">
        <v>9.85</v>
      </c>
      <c r="BQ150">
        <v>17.8</v>
      </c>
      <c r="BR150">
        <v>133</v>
      </c>
      <c r="BS150">
        <v>68.400000000000006</v>
      </c>
      <c r="BT150">
        <v>16.600000000000001</v>
      </c>
      <c r="BU150">
        <v>43.2</v>
      </c>
      <c r="BV150">
        <v>766991.2</v>
      </c>
      <c r="BW150">
        <v>13.17</v>
      </c>
      <c r="BX150">
        <v>22.9</v>
      </c>
      <c r="BY150">
        <v>215.4</v>
      </c>
      <c r="BZ150">
        <v>56.9</v>
      </c>
      <c r="CA150">
        <v>22.2</v>
      </c>
      <c r="CB150">
        <v>16.8</v>
      </c>
      <c r="CC150">
        <v>864484</v>
      </c>
      <c r="CD150">
        <v>14.77</v>
      </c>
      <c r="CE150">
        <v>30.9</v>
      </c>
      <c r="CF150">
        <v>290.8</v>
      </c>
      <c r="CG150">
        <v>44.8</v>
      </c>
      <c r="CH150">
        <v>24</v>
      </c>
      <c r="CI150">
        <v>7.8</v>
      </c>
      <c r="CJ150">
        <v>944723.8</v>
      </c>
      <c r="CK150">
        <v>15.05</v>
      </c>
      <c r="CL150">
        <v>33.6</v>
      </c>
      <c r="CM150">
        <v>325.5</v>
      </c>
      <c r="CN150">
        <v>39.4</v>
      </c>
      <c r="CP150" s="3">
        <v>119.07146077499999</v>
      </c>
      <c r="CQ150" s="3">
        <v>235.14453102913441</v>
      </c>
      <c r="CR150" s="3">
        <v>211.74875985799997</v>
      </c>
      <c r="CS150" s="3">
        <v>150.26687985202918</v>
      </c>
      <c r="CT150" s="3">
        <v>166.58352970400003</v>
      </c>
      <c r="CU150" s="7">
        <v>0.06</v>
      </c>
      <c r="CV150" s="7">
        <v>0.14000000000000001</v>
      </c>
      <c r="CW150" s="7">
        <v>7.0000000000000007E-2</v>
      </c>
      <c r="CX150" s="7">
        <v>0.04</v>
      </c>
      <c r="CY150" s="3">
        <f t="shared" si="6"/>
        <v>60.935521019670105</v>
      </c>
      <c r="CZ150" s="5">
        <v>2361</v>
      </c>
      <c r="DA150" s="5">
        <v>1647</v>
      </c>
      <c r="DB150" s="5">
        <v>796380</v>
      </c>
      <c r="DC150" s="5">
        <v>2368</v>
      </c>
      <c r="DE150" t="s">
        <v>147</v>
      </c>
      <c r="DK150" s="5">
        <v>2377.3087421327505</v>
      </c>
      <c r="DM150" s="5">
        <v>1373.5646913201947</v>
      </c>
    </row>
    <row r="151" spans="1:117" x14ac:dyDescent="0.25">
      <c r="A151" t="s">
        <v>156</v>
      </c>
      <c r="B151" t="s">
        <v>157</v>
      </c>
      <c r="C151">
        <v>117.47004</v>
      </c>
      <c r="D151">
        <v>-31.587308</v>
      </c>
      <c r="E151">
        <v>2018</v>
      </c>
      <c r="F151" t="s">
        <v>155</v>
      </c>
      <c r="G151" t="s">
        <v>141</v>
      </c>
      <c r="H151" t="s">
        <v>144</v>
      </c>
      <c r="I151">
        <v>25</v>
      </c>
      <c r="J151">
        <v>16.399999999999999</v>
      </c>
      <c r="K151">
        <v>931926.2</v>
      </c>
      <c r="L151">
        <v>17.559999999999999</v>
      </c>
      <c r="M151">
        <v>34.1</v>
      </c>
      <c r="N151">
        <v>336</v>
      </c>
      <c r="O151">
        <v>44.7</v>
      </c>
      <c r="P151">
        <v>24.6</v>
      </c>
      <c r="Q151">
        <v>8.4</v>
      </c>
      <c r="R151">
        <v>729660.7</v>
      </c>
      <c r="S151">
        <v>15.1</v>
      </c>
      <c r="T151">
        <v>31.9</v>
      </c>
      <c r="U151">
        <v>258.2</v>
      </c>
      <c r="V151">
        <v>48</v>
      </c>
      <c r="W151">
        <v>24</v>
      </c>
      <c r="X151">
        <v>0.2</v>
      </c>
      <c r="Y151">
        <v>707713.4</v>
      </c>
      <c r="Z151">
        <v>14.98</v>
      </c>
      <c r="AA151">
        <v>29.1</v>
      </c>
      <c r="AB151">
        <v>265.2</v>
      </c>
      <c r="AC151">
        <v>44.8</v>
      </c>
      <c r="AD151">
        <v>19.100000000000001</v>
      </c>
      <c r="AE151">
        <v>8.1999999999999993</v>
      </c>
      <c r="AF151">
        <v>522838.3</v>
      </c>
      <c r="AG151">
        <v>10.23</v>
      </c>
      <c r="AH151">
        <v>22.6</v>
      </c>
      <c r="AI151">
        <v>165.5</v>
      </c>
      <c r="AJ151">
        <v>56</v>
      </c>
      <c r="AK151">
        <v>15.7</v>
      </c>
      <c r="AL151">
        <v>22.4</v>
      </c>
      <c r="AM151">
        <v>421921.9</v>
      </c>
      <c r="AN151">
        <v>11.33</v>
      </c>
      <c r="AO151">
        <v>16.899999999999999</v>
      </c>
      <c r="AP151">
        <v>145.80000000000001</v>
      </c>
      <c r="AQ151">
        <v>52.1</v>
      </c>
      <c r="AR151">
        <v>12.1</v>
      </c>
      <c r="AS151">
        <v>47.6</v>
      </c>
      <c r="AT151">
        <v>295689.59999999998</v>
      </c>
      <c r="AU151">
        <v>7.62</v>
      </c>
      <c r="AV151">
        <v>12.9</v>
      </c>
      <c r="AW151">
        <v>67.099999999999994</v>
      </c>
      <c r="AX151">
        <v>75.099999999999994</v>
      </c>
      <c r="AY151">
        <v>11.5</v>
      </c>
      <c r="AZ151">
        <v>65.8</v>
      </c>
      <c r="BA151">
        <v>342979</v>
      </c>
      <c r="BB151">
        <v>10.039999999999999</v>
      </c>
      <c r="BC151">
        <v>12.3</v>
      </c>
      <c r="BD151">
        <v>73.900000000000006</v>
      </c>
      <c r="BE151">
        <v>80</v>
      </c>
      <c r="BF151">
        <v>10.199999999999999</v>
      </c>
      <c r="BG151">
        <v>68.400000000000006</v>
      </c>
      <c r="BH151">
        <v>432855.8</v>
      </c>
      <c r="BI151">
        <v>8.9600000000000009</v>
      </c>
      <c r="BJ151">
        <v>12.5</v>
      </c>
      <c r="BK151">
        <v>86.3</v>
      </c>
      <c r="BL151">
        <v>80.099999999999994</v>
      </c>
      <c r="BM151">
        <v>12.5</v>
      </c>
      <c r="BN151">
        <v>7.8</v>
      </c>
      <c r="BO151">
        <v>600782.69999999995</v>
      </c>
      <c r="BP151">
        <v>7.13</v>
      </c>
      <c r="BQ151">
        <v>16.100000000000001</v>
      </c>
      <c r="BR151">
        <v>138.19999999999999</v>
      </c>
      <c r="BS151">
        <v>68.7</v>
      </c>
      <c r="BT151">
        <v>17.100000000000001</v>
      </c>
      <c r="BU151">
        <v>28.4</v>
      </c>
      <c r="BV151">
        <v>668350.4</v>
      </c>
      <c r="BW151">
        <v>10.6</v>
      </c>
      <c r="BX151">
        <v>20.9</v>
      </c>
      <c r="BY151">
        <v>184.3</v>
      </c>
      <c r="BZ151">
        <v>63.6</v>
      </c>
      <c r="CA151">
        <v>20</v>
      </c>
      <c r="CB151">
        <v>0.4</v>
      </c>
      <c r="CC151">
        <v>879171.7</v>
      </c>
      <c r="CD151">
        <v>13.06</v>
      </c>
      <c r="CE151">
        <v>28.2</v>
      </c>
      <c r="CF151">
        <v>271.7</v>
      </c>
      <c r="CG151">
        <v>44.5</v>
      </c>
      <c r="CH151">
        <v>24.4</v>
      </c>
      <c r="CI151">
        <v>18.399999999999999</v>
      </c>
      <c r="CJ151">
        <v>955192.5</v>
      </c>
      <c r="CK151">
        <v>13.22</v>
      </c>
      <c r="CL151">
        <v>32.299999999999997</v>
      </c>
      <c r="CM151">
        <v>330.2</v>
      </c>
      <c r="CN151">
        <v>37.9</v>
      </c>
      <c r="CP151" s="3">
        <v>149.45420497500001</v>
      </c>
      <c r="CQ151" s="3">
        <v>274.57347051901041</v>
      </c>
      <c r="CR151" s="3">
        <v>237.4236465424917</v>
      </c>
      <c r="CS151" s="3">
        <v>174.41377918435418</v>
      </c>
      <c r="CT151" s="3">
        <v>166.56083829114584</v>
      </c>
      <c r="CU151" s="7">
        <v>0.06</v>
      </c>
      <c r="CV151" s="7">
        <v>0.14000000000000001</v>
      </c>
      <c r="CW151" s="7">
        <v>7.0000000000000007E-2</v>
      </c>
      <c r="CX151" s="7">
        <v>0.04</v>
      </c>
      <c r="CY151" s="3">
        <f t="shared" si="6"/>
        <v>68.585116821640085</v>
      </c>
      <c r="CZ151" s="5">
        <v>1848</v>
      </c>
      <c r="DA151" s="5">
        <v>1507</v>
      </c>
      <c r="DB151" s="5">
        <v>721140</v>
      </c>
      <c r="DC151" s="5">
        <v>1837</v>
      </c>
      <c r="DE151" t="s">
        <v>147</v>
      </c>
      <c r="DK151" s="5">
        <v>1860.7651653796368</v>
      </c>
      <c r="DM151" s="5">
        <v>1256.8075226590975</v>
      </c>
    </row>
    <row r="152" spans="1:117" x14ac:dyDescent="0.25">
      <c r="A152" t="s">
        <v>156</v>
      </c>
      <c r="B152" t="s">
        <v>157</v>
      </c>
      <c r="C152">
        <v>117.47004</v>
      </c>
      <c r="D152">
        <v>-31.587308</v>
      </c>
      <c r="E152">
        <v>2019</v>
      </c>
      <c r="F152" t="s">
        <v>155</v>
      </c>
      <c r="G152" t="s">
        <v>141</v>
      </c>
      <c r="H152" t="s">
        <v>144</v>
      </c>
      <c r="I152">
        <v>25.5</v>
      </c>
      <c r="J152">
        <v>0</v>
      </c>
      <c r="K152">
        <v>992854.9</v>
      </c>
      <c r="L152">
        <v>14.38</v>
      </c>
      <c r="M152">
        <v>34.4</v>
      </c>
      <c r="N152">
        <v>352.1</v>
      </c>
      <c r="O152">
        <v>36.4</v>
      </c>
      <c r="P152">
        <v>25.6</v>
      </c>
      <c r="Q152">
        <v>3.8</v>
      </c>
      <c r="R152">
        <v>805494.6</v>
      </c>
      <c r="S152">
        <v>14.05</v>
      </c>
      <c r="T152">
        <v>33.4</v>
      </c>
      <c r="U152">
        <v>292.3</v>
      </c>
      <c r="V152">
        <v>39.299999999999997</v>
      </c>
      <c r="W152">
        <v>23.8</v>
      </c>
      <c r="X152">
        <v>2</v>
      </c>
      <c r="Y152">
        <v>671988.9</v>
      </c>
      <c r="Z152">
        <v>12.73</v>
      </c>
      <c r="AA152">
        <v>29.8</v>
      </c>
      <c r="AB152">
        <v>243.3</v>
      </c>
      <c r="AC152">
        <v>45.2</v>
      </c>
      <c r="AD152">
        <v>18.600000000000001</v>
      </c>
      <c r="AE152">
        <v>26.4</v>
      </c>
      <c r="AF152">
        <v>535576.9</v>
      </c>
      <c r="AG152">
        <v>11.77</v>
      </c>
      <c r="AH152">
        <v>21.7</v>
      </c>
      <c r="AI152">
        <v>176.7</v>
      </c>
      <c r="AJ152">
        <v>53.8</v>
      </c>
      <c r="AK152">
        <v>13.4</v>
      </c>
      <c r="AL152">
        <v>11.4</v>
      </c>
      <c r="AM152">
        <v>429730.7</v>
      </c>
      <c r="AN152">
        <v>8.09</v>
      </c>
      <c r="AO152">
        <v>15.4</v>
      </c>
      <c r="AP152">
        <v>123.8</v>
      </c>
      <c r="AQ152">
        <v>56.7</v>
      </c>
      <c r="AR152">
        <v>12.2</v>
      </c>
      <c r="AS152">
        <v>61.2</v>
      </c>
      <c r="AT152">
        <v>299394.7</v>
      </c>
      <c r="AU152">
        <v>11.02</v>
      </c>
      <c r="AV152">
        <v>12.5</v>
      </c>
      <c r="AW152">
        <v>86.2</v>
      </c>
      <c r="AX152">
        <v>68.3</v>
      </c>
      <c r="AY152">
        <v>11.3</v>
      </c>
      <c r="AZ152">
        <v>41.4</v>
      </c>
      <c r="BA152">
        <v>365371.9</v>
      </c>
      <c r="BB152">
        <v>7.82</v>
      </c>
      <c r="BC152">
        <v>12</v>
      </c>
      <c r="BD152">
        <v>73.599999999999994</v>
      </c>
      <c r="BE152">
        <v>77.099999999999994</v>
      </c>
      <c r="BF152">
        <v>11.9</v>
      </c>
      <c r="BG152">
        <v>37</v>
      </c>
      <c r="BH152">
        <v>464082.5</v>
      </c>
      <c r="BI152">
        <v>9.5299999999999994</v>
      </c>
      <c r="BJ152">
        <v>13.4</v>
      </c>
      <c r="BK152">
        <v>116.6</v>
      </c>
      <c r="BL152">
        <v>68.2</v>
      </c>
      <c r="BM152">
        <v>15.4</v>
      </c>
      <c r="BN152">
        <v>6.4</v>
      </c>
      <c r="BO152">
        <v>641959</v>
      </c>
      <c r="BP152">
        <v>9.1</v>
      </c>
      <c r="BQ152">
        <v>19.2</v>
      </c>
      <c r="BR152">
        <v>172.9</v>
      </c>
      <c r="BS152">
        <v>59.5</v>
      </c>
      <c r="BT152">
        <v>18.5</v>
      </c>
      <c r="BU152">
        <v>14.6</v>
      </c>
      <c r="BV152">
        <v>803839.2</v>
      </c>
      <c r="BW152">
        <v>11.52</v>
      </c>
      <c r="BX152">
        <v>25</v>
      </c>
      <c r="BY152">
        <v>246</v>
      </c>
      <c r="BZ152">
        <v>48.9</v>
      </c>
      <c r="CA152">
        <v>22.3</v>
      </c>
      <c r="CB152">
        <v>1</v>
      </c>
      <c r="CC152">
        <v>931219.7</v>
      </c>
      <c r="CD152">
        <v>14.61</v>
      </c>
      <c r="CE152">
        <v>29.6</v>
      </c>
      <c r="CF152">
        <v>316.89999999999998</v>
      </c>
      <c r="CG152">
        <v>36.6</v>
      </c>
      <c r="CH152">
        <v>27.4</v>
      </c>
      <c r="CI152">
        <v>0</v>
      </c>
      <c r="CJ152">
        <v>969537.2</v>
      </c>
      <c r="CK152">
        <v>13.76</v>
      </c>
      <c r="CL152">
        <v>34.9</v>
      </c>
      <c r="CM152">
        <v>366.1</v>
      </c>
      <c r="CN152">
        <v>31.3</v>
      </c>
      <c r="CP152" s="3">
        <v>151.20769046666666</v>
      </c>
      <c r="CQ152" s="3">
        <v>267.33967790703502</v>
      </c>
      <c r="CR152" s="3">
        <v>246.94953969827165</v>
      </c>
      <c r="CS152" s="3">
        <v>186.82042264949916</v>
      </c>
      <c r="CT152" s="3">
        <v>164.67061180174997</v>
      </c>
      <c r="CU152" s="7">
        <v>0.06</v>
      </c>
      <c r="CV152" s="7">
        <v>0.14000000000000001</v>
      </c>
      <c r="CW152" s="7">
        <v>7.0000000000000007E-2</v>
      </c>
      <c r="CX152" s="7">
        <v>0.04</v>
      </c>
      <c r="CY152" s="3">
        <f t="shared" si="6"/>
        <v>70.277570289715072</v>
      </c>
      <c r="CZ152" s="5">
        <v>3132</v>
      </c>
      <c r="DA152" s="5">
        <v>1716</v>
      </c>
      <c r="DB152" s="5">
        <v>1037670</v>
      </c>
      <c r="DC152" s="5">
        <v>2915</v>
      </c>
      <c r="DE152" t="s">
        <v>147</v>
      </c>
      <c r="DK152" s="5">
        <v>3153.6344685979561</v>
      </c>
      <c r="DM152" s="5">
        <v>1431.1092958745928</v>
      </c>
    </row>
    <row r="153" spans="1:117" x14ac:dyDescent="0.25">
      <c r="A153" t="s">
        <v>156</v>
      </c>
      <c r="B153" t="s">
        <v>157</v>
      </c>
      <c r="C153">
        <v>117.47004</v>
      </c>
      <c r="D153">
        <v>-31.587308</v>
      </c>
      <c r="E153">
        <v>2020</v>
      </c>
      <c r="F153" t="s">
        <v>155</v>
      </c>
      <c r="G153" t="s">
        <v>141</v>
      </c>
      <c r="H153" t="s">
        <v>144</v>
      </c>
      <c r="I153">
        <v>25.6</v>
      </c>
      <c r="J153">
        <v>1</v>
      </c>
      <c r="K153">
        <v>969864.7</v>
      </c>
      <c r="L153">
        <v>14.99</v>
      </c>
      <c r="M153">
        <v>34.4</v>
      </c>
      <c r="N153">
        <v>351</v>
      </c>
      <c r="O153">
        <v>36.299999999999997</v>
      </c>
      <c r="P153">
        <v>25.8</v>
      </c>
      <c r="Q153">
        <v>51.2</v>
      </c>
      <c r="R153">
        <v>694247.1</v>
      </c>
      <c r="S153">
        <v>16.53</v>
      </c>
      <c r="T153">
        <v>31.2</v>
      </c>
      <c r="U153">
        <v>270.89999999999998</v>
      </c>
      <c r="V153">
        <v>46.6</v>
      </c>
      <c r="W153">
        <v>22.8</v>
      </c>
      <c r="X153">
        <v>18.399999999999999</v>
      </c>
      <c r="Y153">
        <v>667060.80000000005</v>
      </c>
      <c r="Z153">
        <v>12.68</v>
      </c>
      <c r="AA153">
        <v>26.9</v>
      </c>
      <c r="AB153">
        <v>230</v>
      </c>
      <c r="AC153">
        <v>49.3</v>
      </c>
      <c r="AD153">
        <v>20</v>
      </c>
      <c r="AE153">
        <v>3.4</v>
      </c>
      <c r="AF153">
        <v>493303.6</v>
      </c>
      <c r="AG153">
        <v>10.35</v>
      </c>
      <c r="AH153">
        <v>24.2</v>
      </c>
      <c r="AI153">
        <v>172.7</v>
      </c>
      <c r="AJ153">
        <v>49.3</v>
      </c>
      <c r="AK153">
        <v>14.4</v>
      </c>
      <c r="AL153">
        <v>31.4</v>
      </c>
      <c r="AM153">
        <v>393194.4</v>
      </c>
      <c r="AN153">
        <v>11.35</v>
      </c>
      <c r="AO153">
        <v>16.2</v>
      </c>
      <c r="AP153">
        <v>128</v>
      </c>
      <c r="AQ153">
        <v>58.9</v>
      </c>
      <c r="AR153">
        <v>13.8</v>
      </c>
      <c r="AS153">
        <v>42.4</v>
      </c>
      <c r="AT153">
        <v>318897.59999999998</v>
      </c>
      <c r="AU153">
        <v>9.93</v>
      </c>
      <c r="AV153">
        <v>13.7</v>
      </c>
      <c r="AW153">
        <v>89.7</v>
      </c>
      <c r="AX153">
        <v>66.400000000000006</v>
      </c>
      <c r="AY153">
        <v>11.6</v>
      </c>
      <c r="AZ153">
        <v>20.2</v>
      </c>
      <c r="BA153">
        <v>393376.3</v>
      </c>
      <c r="BB153">
        <v>8.9</v>
      </c>
      <c r="BC153">
        <v>12.4</v>
      </c>
      <c r="BD153">
        <v>91.8</v>
      </c>
      <c r="BE153">
        <v>74.099999999999994</v>
      </c>
      <c r="BF153">
        <v>11.7</v>
      </c>
      <c r="BG153">
        <v>45.4</v>
      </c>
      <c r="BH153">
        <v>460898.6</v>
      </c>
      <c r="BI153">
        <v>10.07</v>
      </c>
      <c r="BJ153">
        <v>14</v>
      </c>
      <c r="BK153">
        <v>102.7</v>
      </c>
      <c r="BL153">
        <v>74.3</v>
      </c>
      <c r="BM153">
        <v>14.4</v>
      </c>
      <c r="BN153">
        <v>15.8</v>
      </c>
      <c r="BO153">
        <v>610192</v>
      </c>
      <c r="BP153">
        <v>10.88</v>
      </c>
      <c r="BQ153">
        <v>19.899999999999999</v>
      </c>
      <c r="BR153">
        <v>167.4</v>
      </c>
      <c r="BS153">
        <v>63</v>
      </c>
      <c r="BT153">
        <v>18.8</v>
      </c>
      <c r="BU153">
        <v>2.2000000000000002</v>
      </c>
      <c r="BV153">
        <v>780456</v>
      </c>
      <c r="BW153">
        <v>11.93</v>
      </c>
      <c r="BX153">
        <v>27.6</v>
      </c>
      <c r="BY153">
        <v>246.9</v>
      </c>
      <c r="BZ153">
        <v>45.7</v>
      </c>
      <c r="CA153">
        <v>19.399999999999999</v>
      </c>
      <c r="CB153">
        <v>24.6</v>
      </c>
      <c r="CC153">
        <v>816639</v>
      </c>
      <c r="CD153">
        <v>12.73</v>
      </c>
      <c r="CE153">
        <v>28.5</v>
      </c>
      <c r="CF153">
        <v>251</v>
      </c>
      <c r="CG153">
        <v>51.9</v>
      </c>
      <c r="CH153">
        <v>24.8</v>
      </c>
      <c r="CI153">
        <v>0.2</v>
      </c>
      <c r="CJ153">
        <v>998832.6</v>
      </c>
      <c r="CK153">
        <v>14.96</v>
      </c>
      <c r="CL153">
        <v>35.200000000000003</v>
      </c>
      <c r="CM153">
        <v>354.3</v>
      </c>
      <c r="CN153">
        <v>34.1</v>
      </c>
      <c r="CP153" s="3">
        <v>137.12151142499999</v>
      </c>
      <c r="CQ153" s="3">
        <v>183.94377395835087</v>
      </c>
      <c r="CR153" s="3">
        <v>171.50265380089249</v>
      </c>
      <c r="CS153" s="3">
        <v>153.47587761539251</v>
      </c>
      <c r="CT153" s="3">
        <v>168.62831412656331</v>
      </c>
      <c r="CU153" s="7">
        <v>0.06</v>
      </c>
      <c r="CV153" s="7">
        <v>0.14000000000000001</v>
      </c>
      <c r="CW153" s="7">
        <v>7.0000000000000007E-2</v>
      </c>
      <c r="CX153" s="7">
        <v>0.04</v>
      </c>
      <c r="CY153" s="3">
        <f t="shared" si="6"/>
        <v>52.535441967766019</v>
      </c>
      <c r="CZ153" s="5">
        <v>1591</v>
      </c>
      <c r="DA153" s="5">
        <v>1677</v>
      </c>
      <c r="DB153" s="5">
        <v>864980</v>
      </c>
      <c r="DC153" s="5">
        <v>1861</v>
      </c>
      <c r="DE153" t="s">
        <v>147</v>
      </c>
      <c r="DK153" s="5">
        <v>1601.9899232245682</v>
      </c>
      <c r="DM153" s="5">
        <v>1398.5840846047156</v>
      </c>
    </row>
    <row r="154" spans="1:117" x14ac:dyDescent="0.25">
      <c r="A154" t="s">
        <v>154</v>
      </c>
      <c r="B154" t="s">
        <v>153</v>
      </c>
      <c r="C154">
        <v>118.01770500000001</v>
      </c>
      <c r="D154">
        <v>-33.971339999999998</v>
      </c>
      <c r="E154" s="8">
        <v>2013</v>
      </c>
      <c r="F154" t="s">
        <v>153</v>
      </c>
      <c r="G154" t="s">
        <v>139</v>
      </c>
      <c r="H154" t="s">
        <v>142</v>
      </c>
      <c r="I154" s="3">
        <f>+AVERAGE(I155:I159)</f>
        <v>21.248000000000001</v>
      </c>
      <c r="J154" s="3">
        <f t="shared" ref="J154" si="11">+AVERAGE(J155:J159)</f>
        <v>8.8640000000000008</v>
      </c>
      <c r="K154" s="3">
        <f t="shared" ref="K154" si="12">+AVERAGE(K155:K159)</f>
        <v>894057.16000000015</v>
      </c>
      <c r="L154" s="3">
        <f t="shared" ref="L154" si="13">+AVERAGE(L155:L159)</f>
        <v>15.159600000000001</v>
      </c>
      <c r="M154" s="3">
        <f t="shared" ref="M154" si="14">+AVERAGE(M155:M159)</f>
        <v>28.363999999999997</v>
      </c>
      <c r="N154" s="3">
        <f t="shared" ref="N154" si="15">+AVERAGE(N155:N159)</f>
        <v>282.88800000000003</v>
      </c>
      <c r="O154" s="3">
        <f t="shared" ref="O154" si="16">+AVERAGE(O155:O159)</f>
        <v>57.459999999999994</v>
      </c>
      <c r="P154" s="3">
        <f t="shared" ref="P154" si="17">+AVERAGE(P155:P159)</f>
        <v>20.856000000000002</v>
      </c>
      <c r="Q154" s="3">
        <f t="shared" ref="Q154" si="18">+AVERAGE(Q155:Q159)</f>
        <v>55.783999999999992</v>
      </c>
      <c r="R154" s="3">
        <f t="shared" ref="R154" si="19">+AVERAGE(R155:R159)</f>
        <v>665055.45600000001</v>
      </c>
      <c r="S154" s="3">
        <f t="shared" ref="S154" si="20">+AVERAGE(S155:S159)</f>
        <v>14.839599999999999</v>
      </c>
      <c r="T154" s="3">
        <f t="shared" ref="T154" si="21">+AVERAGE(T155:T159)</f>
        <v>26.268000000000001</v>
      </c>
      <c r="U154" s="3">
        <f t="shared" ref="U154" si="22">+AVERAGE(U155:U159)</f>
        <v>199.76</v>
      </c>
      <c r="V154" s="3">
        <f t="shared" ref="V154" si="23">+AVERAGE(V155:V159)</f>
        <v>65.415999999999997</v>
      </c>
      <c r="W154" s="3">
        <f t="shared" ref="W154" si="24">+AVERAGE(W155:W159)</f>
        <v>19.748000000000001</v>
      </c>
      <c r="X154" s="3">
        <f t="shared" ref="X154" si="25">+AVERAGE(X155:X159)</f>
        <v>31.4</v>
      </c>
      <c r="Y154" s="3">
        <f t="shared" ref="Y154" si="26">+AVERAGE(Y155:Y159)</f>
        <v>592162.64399999997</v>
      </c>
      <c r="Z154" s="3">
        <f t="shared" ref="Z154" si="27">+AVERAGE(Z155:Z159)</f>
        <v>13.4024</v>
      </c>
      <c r="AA154" s="3">
        <f t="shared" ref="AA154" si="28">+AVERAGE(AA155:AA159)</f>
        <v>23.368000000000002</v>
      </c>
      <c r="AB154" s="3">
        <f t="shared" ref="AB154" si="29">+AVERAGE(AB155:AB159)</f>
        <v>177.62</v>
      </c>
      <c r="AC154" s="3">
        <f t="shared" ref="AC154" si="30">+AVERAGE(AC155:AC159)</f>
        <v>67.304000000000002</v>
      </c>
      <c r="AD154" s="3">
        <f t="shared" ref="AD154" si="31">+AVERAGE(AD155:AD159)</f>
        <v>17.624000000000002</v>
      </c>
      <c r="AE154" s="3">
        <f t="shared" ref="AE154" si="32">+AVERAGE(AE155:AE159)</f>
        <v>13.784000000000001</v>
      </c>
      <c r="AF154" s="3">
        <f t="shared" ref="AF154" si="33">+AVERAGE(AF155:AF159)</f>
        <v>440421.41199999989</v>
      </c>
      <c r="AG154" s="3">
        <f t="shared" ref="AG154" si="34">+AVERAGE(AG155:AG159)</f>
        <v>9.9971999999999994</v>
      </c>
      <c r="AH154" s="3">
        <f t="shared" ref="AH154" si="35">+AVERAGE(AH155:AH159)</f>
        <v>19.648000000000003</v>
      </c>
      <c r="AI154" s="3">
        <f t="shared" ref="AI154" si="36">+AVERAGE(AI155:AI159)</f>
        <v>124.80800000000002</v>
      </c>
      <c r="AJ154" s="3">
        <f t="shared" ref="AJ154" si="37">+AVERAGE(AJ155:AJ159)</f>
        <v>69.643999999999991</v>
      </c>
      <c r="AK154" s="3">
        <f t="shared" ref="AK154" si="38">+AVERAGE(AK155:AK159)</f>
        <v>14.848000000000003</v>
      </c>
      <c r="AL154" s="3">
        <f t="shared" ref="AL154" si="39">+AVERAGE(AL155:AL159)</f>
        <v>21.375999999999998</v>
      </c>
      <c r="AM154" s="3">
        <f t="shared" ref="AM154" si="40">+AVERAGE(AM155:AM159)</f>
        <v>350782.29200000002</v>
      </c>
      <c r="AN154" s="3">
        <f t="shared" ref="AN154" si="41">+AVERAGE(AN155:AN159)</f>
        <v>10.533999999999999</v>
      </c>
      <c r="AO154" s="3">
        <f t="shared" ref="AO154" si="42">+AVERAGE(AO155:AO159)</f>
        <v>15.324000000000002</v>
      </c>
      <c r="AP154" s="3">
        <f t="shared" ref="AP154" si="43">+AVERAGE(AP155:AP159)</f>
        <v>102.904</v>
      </c>
      <c r="AQ154" s="3">
        <f t="shared" ref="AQ154" si="44">+AVERAGE(AQ155:AQ159)</f>
        <v>68.116</v>
      </c>
      <c r="AR154" s="3">
        <f t="shared" ref="AR154" si="45">+AVERAGE(AR155:AR159)</f>
        <v>13.336000000000002</v>
      </c>
      <c r="AS154" s="3">
        <f t="shared" ref="AS154" si="46">+AVERAGE(AS155:AS159)</f>
        <v>28.384000000000004</v>
      </c>
      <c r="AT154" s="3">
        <f t="shared" ref="AT154" si="47">+AVERAGE(AT155:AT159)</f>
        <v>264999.55599999998</v>
      </c>
      <c r="AU154" s="3">
        <f t="shared" ref="AU154" si="48">+AVERAGE(AU155:AU159)</f>
        <v>11.265600000000001</v>
      </c>
      <c r="AV154" s="3">
        <f t="shared" ref="AV154" si="49">+AVERAGE(AV155:AV159)</f>
        <v>12.655999999999999</v>
      </c>
      <c r="AW154" s="3">
        <f t="shared" ref="AW154" si="50">+AVERAGE(AW155:AW159)</f>
        <v>68.283999999999992</v>
      </c>
      <c r="AX154" s="3">
        <f t="shared" ref="AX154" si="51">+AVERAGE(AX155:AX159)</f>
        <v>75.323999999999998</v>
      </c>
      <c r="AY154" s="3">
        <f t="shared" ref="AY154" si="52">+AVERAGE(AY155:AY159)</f>
        <v>12.135999999999999</v>
      </c>
      <c r="AZ154" s="3">
        <f t="shared" ref="AZ154" si="53">+AVERAGE(AZ155:AZ159)</f>
        <v>27.568000000000001</v>
      </c>
      <c r="BA154" s="3">
        <f t="shared" ref="BA154" si="54">+AVERAGE(BA155:BA159)</f>
        <v>230108.77199999997</v>
      </c>
      <c r="BB154" s="3">
        <f t="shared" ref="BB154" si="55">+AVERAGE(BB155:BB159)</f>
        <v>13.5868</v>
      </c>
      <c r="BC154" s="3">
        <f t="shared" ref="BC154" si="56">+AVERAGE(BC155:BC159)</f>
        <v>11.068000000000001</v>
      </c>
      <c r="BD154" s="3">
        <f t="shared" ref="BD154" si="57">+AVERAGE(BD155:BD159)</f>
        <v>51.852000000000011</v>
      </c>
      <c r="BE154" s="3">
        <f t="shared" ref="BE154" si="58">+AVERAGE(BE155:BE159)</f>
        <v>80.007999999999996</v>
      </c>
      <c r="BF154" s="3">
        <f t="shared" ref="BF154" si="59">+AVERAGE(BF155:BF159)</f>
        <v>12.103999999999999</v>
      </c>
      <c r="BG154" s="3">
        <f t="shared" ref="BG154" si="60">+AVERAGE(BG155:BG159)</f>
        <v>51.536000000000001</v>
      </c>
      <c r="BH154" s="3">
        <f t="shared" ref="BH154" si="61">+AVERAGE(BH155:BH159)</f>
        <v>379010.75999999995</v>
      </c>
      <c r="BI154" s="3">
        <f t="shared" ref="BI154" si="62">+AVERAGE(BI155:BI159)</f>
        <v>13.7624</v>
      </c>
      <c r="BJ154" s="3">
        <f t="shared" ref="BJ154" si="63">+AVERAGE(BJ155:BJ159)</f>
        <v>11.636000000000001</v>
      </c>
      <c r="BK154" s="3">
        <f t="shared" ref="BK154" si="64">+AVERAGE(BK155:BK159)</f>
        <v>81.768000000000001</v>
      </c>
      <c r="BL154" s="3">
        <f t="shared" ref="BL154" si="65">+AVERAGE(BL155:BL159)</f>
        <v>80.952000000000012</v>
      </c>
      <c r="BM154" s="3">
        <f t="shared" ref="BM154" si="66">+AVERAGE(BM155:BM159)</f>
        <v>13.712</v>
      </c>
      <c r="BN154" s="3">
        <f t="shared" ref="BN154" si="67">+AVERAGE(BN155:BN159)</f>
        <v>32.664000000000001</v>
      </c>
      <c r="BO154" s="3">
        <f t="shared" ref="BO154" si="68">+AVERAGE(BO155:BO159)</f>
        <v>506198.31199999992</v>
      </c>
      <c r="BP154" s="3">
        <f t="shared" ref="BP154" si="69">+AVERAGE(BP155:BP159)</f>
        <v>12.437199999999999</v>
      </c>
      <c r="BQ154" s="3">
        <f t="shared" ref="BQ154" si="70">+AVERAGE(BQ155:BQ159)</f>
        <v>14.632</v>
      </c>
      <c r="BR154" s="3">
        <f t="shared" ref="BR154" si="71">+AVERAGE(BR155:BR159)</f>
        <v>122.11600000000001</v>
      </c>
      <c r="BS154" s="3">
        <f t="shared" ref="BS154" si="72">+AVERAGE(BS155:BS159)</f>
        <v>75.111999999999995</v>
      </c>
      <c r="BT154" s="3">
        <f t="shared" ref="BT154" si="73">+AVERAGE(BT155:BT159)</f>
        <v>16.059999999999999</v>
      </c>
      <c r="BU154" s="3">
        <f t="shared" ref="BU154" si="74">+AVERAGE(BU155:BU159)</f>
        <v>25.103999999999996</v>
      </c>
      <c r="BV154" s="3">
        <f t="shared" ref="BV154" si="75">+AVERAGE(BV155:BV159)</f>
        <v>640910.15600000008</v>
      </c>
      <c r="BW154" s="3">
        <f t="shared" ref="BW154" si="76">+AVERAGE(BW155:BW159)</f>
        <v>12.911599999999998</v>
      </c>
      <c r="BX154" s="3">
        <f t="shared" ref="BX154" si="77">+AVERAGE(BX155:BX159)</f>
        <v>18.328000000000003</v>
      </c>
      <c r="BY154" s="3">
        <f t="shared" ref="BY154" si="78">+AVERAGE(BY155:BY159)</f>
        <v>168.81199999999998</v>
      </c>
      <c r="BZ154" s="3">
        <f t="shared" ref="BZ154" si="79">+AVERAGE(BZ155:BZ159)</f>
        <v>69.931999999999988</v>
      </c>
      <c r="CA154" s="3">
        <f t="shared" ref="CA154" si="80">+AVERAGE(CA155:CA159)</f>
        <v>17.96</v>
      </c>
      <c r="CB154" s="3">
        <f t="shared" ref="CB154" si="81">+AVERAGE(CB155:CB159)</f>
        <v>20.536000000000001</v>
      </c>
      <c r="CC154" s="3">
        <f t="shared" ref="CC154" si="82">+AVERAGE(CC155:CC159)</f>
        <v>756288.88799999992</v>
      </c>
      <c r="CD154" s="3">
        <f t="shared" ref="CD154" si="83">+AVERAGE(CD155:CD159)</f>
        <v>13.372800000000002</v>
      </c>
      <c r="CE154" s="3">
        <f t="shared" ref="CE154" si="84">+AVERAGE(CE155:CE159)</f>
        <v>22.612000000000002</v>
      </c>
      <c r="CF154" s="3">
        <f t="shared" ref="CF154" si="85">+AVERAGE(CF155:CF159)</f>
        <v>215.05199999999999</v>
      </c>
      <c r="CG154" s="3">
        <f t="shared" ref="CG154" si="86">+AVERAGE(CG155:CG159)</f>
        <v>61.992000000000004</v>
      </c>
      <c r="CH154" s="3">
        <f t="shared" ref="CH154" si="87">+AVERAGE(CH155:CH159)</f>
        <v>20.716000000000001</v>
      </c>
      <c r="CI154" s="3">
        <f t="shared" ref="CI154" si="88">+AVERAGE(CI155:CI159)</f>
        <v>9.3439999999999994</v>
      </c>
      <c r="CJ154" s="3">
        <f t="shared" ref="CJ154" si="89">+AVERAGE(CJ155:CJ159)</f>
        <v>889772.18400000001</v>
      </c>
      <c r="CK154" s="3">
        <f t="shared" ref="CK154" si="90">+AVERAGE(CK155:CK159)</f>
        <v>13.950400000000002</v>
      </c>
      <c r="CL154" s="3">
        <f t="shared" ref="CL154" si="91">+AVERAGE(CL155:CL159)</f>
        <v>26.336000000000002</v>
      </c>
      <c r="CM154" s="3">
        <f t="shared" ref="CM154" si="92">+AVERAGE(CM155:CM159)</f>
        <v>268.84399999999994</v>
      </c>
      <c r="CN154" s="3">
        <f t="shared" ref="CN154" si="93">+AVERAGE(CN155:CN159)</f>
        <v>57.744000000000007</v>
      </c>
      <c r="CP154" s="3">
        <v>344.25478384166667</v>
      </c>
      <c r="CQ154" s="3">
        <v>485.1324771412531</v>
      </c>
      <c r="CR154" s="3">
        <v>453.99912920229173</v>
      </c>
      <c r="CS154" s="3">
        <v>379.15555696741984</v>
      </c>
      <c r="CT154" s="3">
        <v>431.36433691804177</v>
      </c>
      <c r="CU154" s="7">
        <v>0.06</v>
      </c>
      <c r="CV154" s="7">
        <v>0.14000000000000001</v>
      </c>
      <c r="CW154" s="7">
        <v>7.0000000000000007E-2</v>
      </c>
      <c r="CX154" s="7">
        <v>0.04</v>
      </c>
      <c r="CY154" s="3">
        <f t="shared" si="6"/>
        <v>136.46328918123712</v>
      </c>
      <c r="CZ154" s="5">
        <v>1016</v>
      </c>
      <c r="DA154" s="5">
        <v>696</v>
      </c>
      <c r="DB154" s="5">
        <v>453990</v>
      </c>
      <c r="DC154" s="5">
        <v>1009</v>
      </c>
      <c r="DE154" t="s">
        <v>146</v>
      </c>
      <c r="DK154" s="5">
        <v>1217.7449342858649</v>
      </c>
      <c r="DM154" s="5">
        <v>852.65413989574495</v>
      </c>
    </row>
    <row r="155" spans="1:117" x14ac:dyDescent="0.25">
      <c r="A155" t="s">
        <v>154</v>
      </c>
      <c r="B155" t="s">
        <v>153</v>
      </c>
      <c r="C155">
        <v>118.01770500000001</v>
      </c>
      <c r="D155">
        <v>-33.971339999999998</v>
      </c>
      <c r="E155" s="8">
        <v>2014</v>
      </c>
      <c r="F155" t="s">
        <v>153</v>
      </c>
      <c r="G155" t="s">
        <v>139</v>
      </c>
      <c r="H155" t="s">
        <v>142</v>
      </c>
      <c r="I155" s="3">
        <f>+AVERAGE(I156:I160)</f>
        <v>21.240000000000002</v>
      </c>
      <c r="J155" s="3">
        <f t="shared" ref="J155" si="94">+AVERAGE(J156:J160)</f>
        <v>7.92</v>
      </c>
      <c r="K155" s="3">
        <f t="shared" ref="K155" si="95">+AVERAGE(K156:K160)</f>
        <v>900302.7</v>
      </c>
      <c r="L155" s="3">
        <f t="shared" ref="L155" si="96">+AVERAGE(L156:L160)</f>
        <v>15.153</v>
      </c>
      <c r="M155" s="3">
        <f t="shared" ref="M155" si="97">+AVERAGE(M156:M160)</f>
        <v>28.369999999999997</v>
      </c>
      <c r="N155" s="3">
        <f t="shared" ref="N155" si="98">+AVERAGE(N156:N160)</f>
        <v>284.24</v>
      </c>
      <c r="O155" s="3">
        <f t="shared" ref="O155" si="99">+AVERAGE(O156:O160)</f>
        <v>57.4</v>
      </c>
      <c r="P155" s="3">
        <f t="shared" ref="P155" si="100">+AVERAGE(P156:P160)</f>
        <v>20.93</v>
      </c>
      <c r="Q155" s="3">
        <f t="shared" ref="Q155" si="101">+AVERAGE(Q156:Q160)</f>
        <v>46.519999999999996</v>
      </c>
      <c r="R155" s="3">
        <f t="shared" ref="R155" si="102">+AVERAGE(R156:R160)</f>
        <v>679632.23</v>
      </c>
      <c r="S155" s="3">
        <f t="shared" ref="S155" si="103">+AVERAGE(S156:S160)</f>
        <v>14.962999999999999</v>
      </c>
      <c r="T155" s="3">
        <f t="shared" ref="T155" si="104">+AVERAGE(T156:T160)</f>
        <v>26.639999999999997</v>
      </c>
      <c r="U155" s="3">
        <f t="shared" ref="U155" si="105">+AVERAGE(U156:U160)</f>
        <v>206.45</v>
      </c>
      <c r="V155" s="3">
        <f t="shared" ref="V155" si="106">+AVERAGE(V156:V160)</f>
        <v>64.58</v>
      </c>
      <c r="W155" s="3">
        <f t="shared" ref="W155" si="107">+AVERAGE(W156:W160)</f>
        <v>19.740000000000002</v>
      </c>
      <c r="X155" s="3">
        <f t="shared" ref="X155" si="108">+AVERAGE(X156:X160)</f>
        <v>34.299999999999997</v>
      </c>
      <c r="Y155" s="3">
        <f t="shared" ref="Y155" si="109">+AVERAGE(Y156:Y160)</f>
        <v>589971.97</v>
      </c>
      <c r="Z155" s="3">
        <f t="shared" ref="Z155" si="110">+AVERAGE(Z156:Z160)</f>
        <v>13.366999999999999</v>
      </c>
      <c r="AA155" s="3">
        <f t="shared" ref="AA155" si="111">+AVERAGE(AA156:AA160)</f>
        <v>23.44</v>
      </c>
      <c r="AB155" s="3">
        <f t="shared" ref="AB155" si="112">+AVERAGE(AB156:AB160)</f>
        <v>175.5</v>
      </c>
      <c r="AC155" s="3">
        <f t="shared" ref="AC155" si="113">+AVERAGE(AC156:AC160)</f>
        <v>67.61999999999999</v>
      </c>
      <c r="AD155" s="3">
        <f t="shared" ref="AD155" si="114">+AVERAGE(AD156:AD160)</f>
        <v>17.52</v>
      </c>
      <c r="AE155" s="3">
        <f t="shared" ref="AE155" si="115">+AVERAGE(AE156:AE160)</f>
        <v>14.620000000000001</v>
      </c>
      <c r="AF155" s="3">
        <f t="shared" ref="AF155" si="116">+AVERAGE(AF156:AF160)</f>
        <v>442726.11</v>
      </c>
      <c r="AG155" s="3">
        <f t="shared" ref="AG155" si="117">+AVERAGE(AG156:AG160)</f>
        <v>10.431000000000001</v>
      </c>
      <c r="AH155" s="3">
        <f t="shared" ref="AH155" si="118">+AVERAGE(AH156:AH160)</f>
        <v>19.490000000000002</v>
      </c>
      <c r="AI155" s="3">
        <f t="shared" ref="AI155" si="119">+AVERAGE(AI156:AI160)</f>
        <v>127.03999999999999</v>
      </c>
      <c r="AJ155" s="3">
        <f t="shared" ref="AJ155" si="120">+AVERAGE(AJ156:AJ160)</f>
        <v>69.219999999999985</v>
      </c>
      <c r="AK155" s="3">
        <f t="shared" ref="AK155" si="121">+AVERAGE(AK156:AK160)</f>
        <v>14.690000000000001</v>
      </c>
      <c r="AL155" s="3">
        <f t="shared" ref="AL155" si="122">+AVERAGE(AL156:AL160)</f>
        <v>20.079999999999998</v>
      </c>
      <c r="AM155" s="3">
        <f t="shared" ref="AM155" si="123">+AVERAGE(AM156:AM160)</f>
        <v>351607.66000000003</v>
      </c>
      <c r="AN155" s="3">
        <f t="shared" ref="AN155" si="124">+AVERAGE(AN156:AN160)</f>
        <v>10.53</v>
      </c>
      <c r="AO155" s="3">
        <f t="shared" ref="AO155" si="125">+AVERAGE(AO156:AO160)</f>
        <v>15.220000000000002</v>
      </c>
      <c r="AP155" s="3">
        <f t="shared" ref="AP155" si="126">+AVERAGE(AP156:AP160)</f>
        <v>102.82000000000001</v>
      </c>
      <c r="AQ155" s="3">
        <f t="shared" ref="AQ155" si="127">+AVERAGE(AQ156:AQ160)</f>
        <v>67.98</v>
      </c>
      <c r="AR155" s="3">
        <f t="shared" ref="AR155" si="128">+AVERAGE(AR156:AR160)</f>
        <v>13.280000000000001</v>
      </c>
      <c r="AS155" s="3">
        <f t="shared" ref="AS155" si="129">+AVERAGE(AS156:AS160)</f>
        <v>30.02</v>
      </c>
      <c r="AT155" s="3">
        <f t="shared" ref="AT155" si="130">+AVERAGE(AT156:AT160)</f>
        <v>264386.82999999996</v>
      </c>
      <c r="AU155" s="3">
        <f t="shared" ref="AU155" si="131">+AVERAGE(AU156:AU160)</f>
        <v>11.958</v>
      </c>
      <c r="AV155" s="3">
        <f t="shared" ref="AV155" si="132">+AVERAGE(AV156:AV160)</f>
        <v>12.579999999999998</v>
      </c>
      <c r="AW155" s="3">
        <f t="shared" ref="AW155" si="133">+AVERAGE(AW156:AW160)</f>
        <v>70.02</v>
      </c>
      <c r="AX155" s="3">
        <f t="shared" ref="AX155" si="134">+AVERAGE(AX156:AX160)</f>
        <v>75.02</v>
      </c>
      <c r="AY155" s="3">
        <f t="shared" ref="AY155" si="135">+AVERAGE(AY156:AY160)</f>
        <v>12.18</v>
      </c>
      <c r="AZ155" s="3">
        <f t="shared" ref="AZ155" si="136">+AVERAGE(AZ156:AZ160)</f>
        <v>28.339999999999996</v>
      </c>
      <c r="BA155" s="3">
        <f t="shared" ref="BA155" si="137">+AVERAGE(BA156:BA160)</f>
        <v>240245.20999999996</v>
      </c>
      <c r="BB155" s="3">
        <f t="shared" ref="BB155" si="138">+AVERAGE(BB156:BB160)</f>
        <v>13.159000000000001</v>
      </c>
      <c r="BC155" s="3">
        <f t="shared" ref="BC155" si="139">+AVERAGE(BC156:BC160)</f>
        <v>11.14</v>
      </c>
      <c r="BD155" s="3">
        <f t="shared" ref="BD155" si="140">+AVERAGE(BD156:BD160)</f>
        <v>53.260000000000005</v>
      </c>
      <c r="BE155" s="3">
        <f t="shared" ref="BE155" si="141">+AVERAGE(BE156:BE160)</f>
        <v>80.289999999999992</v>
      </c>
      <c r="BF155" s="3">
        <f t="shared" ref="BF155" si="142">+AVERAGE(BF156:BF160)</f>
        <v>12.17</v>
      </c>
      <c r="BG155" s="3">
        <f t="shared" ref="BG155" si="143">+AVERAGE(BG156:BG160)</f>
        <v>47.379999999999995</v>
      </c>
      <c r="BH155" s="3">
        <f t="shared" ref="BH155" si="144">+AVERAGE(BH156:BH160)</f>
        <v>384262.49999999994</v>
      </c>
      <c r="BI155" s="3">
        <f t="shared" ref="BI155" si="145">+AVERAGE(BI156:BI160)</f>
        <v>13.282</v>
      </c>
      <c r="BJ155" s="3">
        <f t="shared" ref="BJ155" si="146">+AVERAGE(BJ156:BJ160)</f>
        <v>11.68</v>
      </c>
      <c r="BK155" s="3">
        <f t="shared" ref="BK155" si="147">+AVERAGE(BK156:BK160)</f>
        <v>83.289999999999992</v>
      </c>
      <c r="BL155" s="3">
        <f t="shared" ref="BL155" si="148">+AVERAGE(BL156:BL160)</f>
        <v>80.360000000000014</v>
      </c>
      <c r="BM155" s="3">
        <f t="shared" ref="BM155" si="149">+AVERAGE(BM156:BM160)</f>
        <v>13.86</v>
      </c>
      <c r="BN155" s="3">
        <f t="shared" ref="BN155" si="150">+AVERAGE(BN156:BN160)</f>
        <v>28.32</v>
      </c>
      <c r="BO155" s="3">
        <f t="shared" ref="BO155" si="151">+AVERAGE(BO156:BO160)</f>
        <v>513519.16000000003</v>
      </c>
      <c r="BP155" s="3">
        <f t="shared" ref="BP155" si="152">+AVERAGE(BP156:BP160)</f>
        <v>12.151</v>
      </c>
      <c r="BQ155" s="3">
        <f t="shared" ref="BQ155" si="153">+AVERAGE(BQ156:BQ160)</f>
        <v>14.709999999999999</v>
      </c>
      <c r="BR155" s="3">
        <f t="shared" ref="BR155" si="154">+AVERAGE(BR156:BR160)</f>
        <v>124.03000000000002</v>
      </c>
      <c r="BS155" s="3">
        <f t="shared" ref="BS155" si="155">+AVERAGE(BS156:BS160)</f>
        <v>74.81</v>
      </c>
      <c r="BT155" s="3">
        <f t="shared" ref="BT155" si="156">+AVERAGE(BT156:BT160)</f>
        <v>16.149999999999999</v>
      </c>
      <c r="BU155" s="3">
        <f t="shared" ref="BU155" si="157">+AVERAGE(BU156:BU160)</f>
        <v>25.52</v>
      </c>
      <c r="BV155" s="3">
        <f t="shared" ref="BV155" si="158">+AVERAGE(BV156:BV160)</f>
        <v>647818.33000000007</v>
      </c>
      <c r="BW155" s="3">
        <f t="shared" ref="BW155" si="159">+AVERAGE(BW156:BW160)</f>
        <v>12.643000000000001</v>
      </c>
      <c r="BX155" s="3">
        <f t="shared" ref="BX155" si="160">+AVERAGE(BX156:BX160)</f>
        <v>18.39</v>
      </c>
      <c r="BY155" s="3">
        <f t="shared" ref="BY155" si="161">+AVERAGE(BY156:BY160)</f>
        <v>171.86</v>
      </c>
      <c r="BZ155" s="3">
        <f t="shared" ref="BZ155" si="162">+AVERAGE(BZ156:BZ160)</f>
        <v>69.359999999999985</v>
      </c>
      <c r="CA155" s="3">
        <f t="shared" ref="CA155" si="163">+AVERAGE(CA156:CA160)</f>
        <v>18.05</v>
      </c>
      <c r="CB155" s="3">
        <f t="shared" ref="CB155" si="164">+AVERAGE(CB156:CB160)</f>
        <v>17.479999999999997</v>
      </c>
      <c r="CC155" s="3">
        <f t="shared" ref="CC155" si="165">+AVERAGE(CC156:CC160)</f>
        <v>775274.54</v>
      </c>
      <c r="CD155" s="3">
        <f t="shared" ref="CD155" si="166">+AVERAGE(CD156:CD160)</f>
        <v>13.303999999999998</v>
      </c>
      <c r="CE155" s="3">
        <f t="shared" ref="CE155" si="167">+AVERAGE(CE156:CE160)</f>
        <v>22.910000000000004</v>
      </c>
      <c r="CF155" s="3">
        <f t="shared" ref="CF155" si="168">+AVERAGE(CF156:CF160)</f>
        <v>220.81</v>
      </c>
      <c r="CG155" s="3">
        <f t="shared" ref="CG155" si="169">+AVERAGE(CG156:CG160)</f>
        <v>61.11</v>
      </c>
      <c r="CH155" s="3">
        <f t="shared" ref="CH155" si="170">+AVERAGE(CH156:CH160)</f>
        <v>21.03</v>
      </c>
      <c r="CI155" s="3">
        <f t="shared" ref="CI155" si="171">+AVERAGE(CI156:CI160)</f>
        <v>8.02</v>
      </c>
      <c r="CJ155" s="3">
        <f t="shared" ref="CJ155" si="172">+AVERAGE(CJ156:CJ160)</f>
        <v>895751.86999999988</v>
      </c>
      <c r="CK155" s="3">
        <f t="shared" ref="CK155" si="173">+AVERAGE(CK156:CK160)</f>
        <v>14.042000000000002</v>
      </c>
      <c r="CL155" s="3">
        <f t="shared" ref="CL155" si="174">+AVERAGE(CL156:CL160)</f>
        <v>26.779999999999994</v>
      </c>
      <c r="CM155" s="3">
        <f t="shared" ref="CM155" si="175">+AVERAGE(CM156:CM160)</f>
        <v>274.32000000000005</v>
      </c>
      <c r="CN155" s="3">
        <f t="shared" ref="CN155" si="176">+AVERAGE(CN156:CN160)</f>
        <v>57.120000000000005</v>
      </c>
      <c r="CP155" s="3">
        <v>283.32452813333333</v>
      </c>
      <c r="CQ155" s="3">
        <v>368.2939243092531</v>
      </c>
      <c r="CR155" s="3">
        <v>330.59328943508331</v>
      </c>
      <c r="CS155" s="3">
        <v>279.4513129062604</v>
      </c>
      <c r="CT155" s="3">
        <v>325.40383910199995</v>
      </c>
      <c r="CU155" s="7">
        <v>0.06</v>
      </c>
      <c r="CV155" s="7">
        <v>0.14000000000000001</v>
      </c>
      <c r="CW155" s="7">
        <v>7.0000000000000007E-2</v>
      </c>
      <c r="CX155" s="7">
        <v>0.04</v>
      </c>
      <c r="CY155" s="3">
        <f t="shared" ref="CY155:CY161" si="177">+CQ155*CU155+CR155*CV155+CS155*CW155+CT155*CX155</f>
        <v>100.95844144698508</v>
      </c>
      <c r="CZ155">
        <v>1638</v>
      </c>
      <c r="DA155">
        <v>683</v>
      </c>
      <c r="DB155">
        <v>566200</v>
      </c>
      <c r="DC155">
        <v>1514</v>
      </c>
      <c r="DE155" t="s">
        <v>146</v>
      </c>
      <c r="DK155" s="5">
        <v>1963.2541361813451</v>
      </c>
      <c r="DM155" s="5">
        <v>836.72812866206004</v>
      </c>
    </row>
    <row r="156" spans="1:117" x14ac:dyDescent="0.25">
      <c r="A156" t="s">
        <v>154</v>
      </c>
      <c r="B156" t="s">
        <v>153</v>
      </c>
      <c r="C156">
        <v>118.01770500000001</v>
      </c>
      <c r="D156">
        <v>-33.971339999999998</v>
      </c>
      <c r="E156" s="4">
        <v>2015</v>
      </c>
      <c r="F156" t="s">
        <v>153</v>
      </c>
      <c r="G156" t="s">
        <v>139</v>
      </c>
      <c r="H156" t="s">
        <v>142</v>
      </c>
      <c r="I156" s="3">
        <f>+AVERAGE(I157:I161)</f>
        <v>21.2</v>
      </c>
      <c r="J156" s="3">
        <f t="shared" ref="J156" si="178">+AVERAGE(J157:J161)</f>
        <v>6.7</v>
      </c>
      <c r="K156" s="3">
        <f t="shared" ref="K156" si="179">+AVERAGE(K157:K161)</f>
        <v>896505.75</v>
      </c>
      <c r="L156" s="3">
        <f t="shared" ref="L156" si="180">+AVERAGE(L157:L161)</f>
        <v>15.042499999999999</v>
      </c>
      <c r="M156" s="3">
        <f t="shared" ref="M156" si="181">+AVERAGE(M157:M161)</f>
        <v>28.425000000000001</v>
      </c>
      <c r="N156" s="3">
        <f t="shared" ref="N156" si="182">+AVERAGE(N157:N161)</f>
        <v>282.85000000000002</v>
      </c>
      <c r="O156" s="3">
        <f t="shared" ref="O156" si="183">+AVERAGE(O157:O161)</f>
        <v>57.4</v>
      </c>
      <c r="P156" s="3">
        <f t="shared" ref="P156" si="184">+AVERAGE(P157:P161)</f>
        <v>21.074999999999999</v>
      </c>
      <c r="Q156" s="3">
        <f t="shared" ref="Q156" si="185">+AVERAGE(Q157:Q161)</f>
        <v>42.8</v>
      </c>
      <c r="R156" s="3">
        <f t="shared" ref="R156" si="186">+AVERAGE(R157:R161)</f>
        <v>674584.77500000002</v>
      </c>
      <c r="S156" s="3">
        <f t="shared" ref="S156" si="187">+AVERAGE(S157:S161)</f>
        <v>15.232499999999998</v>
      </c>
      <c r="T156" s="3">
        <f t="shared" ref="T156" si="188">+AVERAGE(T157:T161)</f>
        <v>26.6</v>
      </c>
      <c r="U156" s="3">
        <f t="shared" ref="U156" si="189">+AVERAGE(U157:U161)</f>
        <v>207.17500000000001</v>
      </c>
      <c r="V156" s="3">
        <f t="shared" ref="V156" si="190">+AVERAGE(V157:V161)</f>
        <v>64.5</v>
      </c>
      <c r="W156" s="3">
        <f t="shared" ref="W156" si="191">+AVERAGE(W157:W161)</f>
        <v>19.850000000000001</v>
      </c>
      <c r="X156" s="3">
        <f t="shared" ref="X156" si="192">+AVERAGE(X157:X161)</f>
        <v>32.549999999999997</v>
      </c>
      <c r="Y156" s="3">
        <f t="shared" ref="Y156" si="193">+AVERAGE(Y157:Y161)</f>
        <v>589206.375</v>
      </c>
      <c r="Z156" s="3">
        <f t="shared" ref="Z156" si="194">+AVERAGE(Z157:Z161)</f>
        <v>13.6775</v>
      </c>
      <c r="AA156" s="3">
        <f t="shared" ref="AA156" si="195">+AVERAGE(AA157:AA161)</f>
        <v>23.4</v>
      </c>
      <c r="AB156" s="3">
        <f t="shared" ref="AB156" si="196">+AVERAGE(AB157:AB161)</f>
        <v>177.2</v>
      </c>
      <c r="AC156" s="3">
        <f t="shared" ref="AC156" si="197">+AVERAGE(AC157:AC161)</f>
        <v>67.150000000000006</v>
      </c>
      <c r="AD156" s="3">
        <f t="shared" ref="AD156" si="198">+AVERAGE(AD157:AD161)</f>
        <v>17.649999999999999</v>
      </c>
      <c r="AE156" s="3">
        <f t="shared" ref="AE156" si="199">+AVERAGE(AE157:AE161)</f>
        <v>13.85</v>
      </c>
      <c r="AF156" s="3">
        <f t="shared" ref="AF156" si="200">+AVERAGE(AF157:AF161)</f>
        <v>442092.125</v>
      </c>
      <c r="AG156" s="3">
        <f t="shared" ref="AG156" si="201">+AVERAGE(AG157:AG161)</f>
        <v>10.7575</v>
      </c>
      <c r="AH156" s="3">
        <f t="shared" ref="AH156" si="202">+AVERAGE(AH157:AH161)</f>
        <v>19.675000000000001</v>
      </c>
      <c r="AI156" s="3">
        <f t="shared" ref="AI156" si="203">+AVERAGE(AI157:AI161)</f>
        <v>128.6</v>
      </c>
      <c r="AJ156" s="3">
        <f t="shared" ref="AJ156" si="204">+AVERAGE(AJ157:AJ161)</f>
        <v>68.549999999999983</v>
      </c>
      <c r="AK156" s="3">
        <f t="shared" ref="AK156" si="205">+AVERAGE(AK157:AK161)</f>
        <v>14.675000000000001</v>
      </c>
      <c r="AL156" s="3">
        <f t="shared" ref="AL156" si="206">+AVERAGE(AL157:AL161)</f>
        <v>23.1</v>
      </c>
      <c r="AM156" s="3">
        <f t="shared" ref="AM156" si="207">+AVERAGE(AM157:AM161)</f>
        <v>351210.4</v>
      </c>
      <c r="AN156" s="3">
        <f t="shared" ref="AN156" si="208">+AVERAGE(AN157:AN161)</f>
        <v>11.215</v>
      </c>
      <c r="AO156" s="3">
        <f t="shared" ref="AO156" si="209">+AVERAGE(AO157:AO161)</f>
        <v>15.2</v>
      </c>
      <c r="AP156" s="3">
        <f t="shared" ref="AP156" si="210">+AVERAGE(AP157:AP161)</f>
        <v>103.95</v>
      </c>
      <c r="AQ156" s="3">
        <f t="shared" ref="AQ156" si="211">+AVERAGE(AQ157:AQ161)</f>
        <v>67.95</v>
      </c>
      <c r="AR156" s="3">
        <f t="shared" ref="AR156" si="212">+AVERAGE(AR157:AR161)</f>
        <v>13.45</v>
      </c>
      <c r="AS156" s="3">
        <f t="shared" ref="AS156" si="213">+AVERAGE(AS157:AS161)</f>
        <v>30.55</v>
      </c>
      <c r="AT156" s="3">
        <f t="shared" ref="AT156" si="214">+AVERAGE(AT157:AT161)</f>
        <v>265410.32500000001</v>
      </c>
      <c r="AU156" s="3">
        <f t="shared" ref="AU156" si="215">+AVERAGE(AU157:AU161)</f>
        <v>12.27</v>
      </c>
      <c r="AV156" s="3">
        <f t="shared" ref="AV156" si="216">+AVERAGE(AV157:AV161)</f>
        <v>12.7</v>
      </c>
      <c r="AW156" s="3">
        <f t="shared" ref="AW156" si="217">+AVERAGE(AW157:AW161)</f>
        <v>71.2</v>
      </c>
      <c r="AX156" s="3">
        <f t="shared" ref="AX156" si="218">+AVERAGE(AX157:AX161)</f>
        <v>74.45</v>
      </c>
      <c r="AY156" s="3">
        <f t="shared" ref="AY156" si="219">+AVERAGE(AY157:AY161)</f>
        <v>12.25</v>
      </c>
      <c r="AZ156" s="3">
        <f t="shared" ref="AZ156" si="220">+AVERAGE(AZ157:AZ161)</f>
        <v>28.55</v>
      </c>
      <c r="BA156" s="3">
        <f t="shared" ref="BA156" si="221">+AVERAGE(BA157:BA161)</f>
        <v>251470.72500000001</v>
      </c>
      <c r="BB156" s="3">
        <f t="shared" ref="BB156" si="222">+AVERAGE(BB157:BB161)</f>
        <v>13.0875</v>
      </c>
      <c r="BC156" s="3">
        <f t="shared" ref="BC156" si="223">+AVERAGE(BC157:BC161)</f>
        <v>11.25</v>
      </c>
      <c r="BD156" s="3">
        <f t="shared" ref="BD156" si="224">+AVERAGE(BD157:BD161)</f>
        <v>56.35</v>
      </c>
      <c r="BE156" s="3">
        <f t="shared" ref="BE156" si="225">+AVERAGE(BE157:BE161)</f>
        <v>80.224999999999994</v>
      </c>
      <c r="BF156" s="3">
        <f t="shared" ref="BF156" si="226">+AVERAGE(BF157:BF161)</f>
        <v>12.175000000000001</v>
      </c>
      <c r="BG156" s="3">
        <f t="shared" ref="BG156" si="227">+AVERAGE(BG157:BG161)</f>
        <v>51.25</v>
      </c>
      <c r="BH156" s="3">
        <f t="shared" ref="BH156" si="228">+AVERAGE(BH157:BH161)</f>
        <v>385857.95</v>
      </c>
      <c r="BI156" s="3">
        <f t="shared" ref="BI156" si="229">+AVERAGE(BI157:BI161)</f>
        <v>13.2</v>
      </c>
      <c r="BJ156" s="3">
        <f t="shared" ref="BJ156" si="230">+AVERAGE(BJ157:BJ161)</f>
        <v>11.75</v>
      </c>
      <c r="BK156" s="3">
        <f t="shared" ref="BK156" si="231">+AVERAGE(BK157:BK161)</f>
        <v>83.924999999999997</v>
      </c>
      <c r="BL156" s="3">
        <f t="shared" ref="BL156" si="232">+AVERAGE(BL157:BL161)</f>
        <v>80.400000000000006</v>
      </c>
      <c r="BM156" s="3">
        <f t="shared" ref="BM156" si="233">+AVERAGE(BM157:BM161)</f>
        <v>13.85</v>
      </c>
      <c r="BN156" s="3">
        <f t="shared" ref="BN156" si="234">+AVERAGE(BN157:BN161)</f>
        <v>28.6</v>
      </c>
      <c r="BO156" s="3">
        <f t="shared" ref="BO156" si="235">+AVERAGE(BO157:BO161)</f>
        <v>515686.25</v>
      </c>
      <c r="BP156" s="3">
        <f t="shared" ref="BP156" si="236">+AVERAGE(BP157:BP161)</f>
        <v>12.407499999999999</v>
      </c>
      <c r="BQ156" s="3">
        <f t="shared" ref="BQ156" si="237">+AVERAGE(BQ157:BQ161)</f>
        <v>14.775</v>
      </c>
      <c r="BR156" s="3">
        <f t="shared" ref="BR156" si="238">+AVERAGE(BR157:BR161)</f>
        <v>125.27500000000001</v>
      </c>
      <c r="BS156" s="3">
        <f t="shared" ref="BS156" si="239">+AVERAGE(BS157:BS161)</f>
        <v>74.724999999999994</v>
      </c>
      <c r="BT156" s="3">
        <f t="shared" ref="BT156" si="240">+AVERAGE(BT157:BT161)</f>
        <v>16.174999999999997</v>
      </c>
      <c r="BU156" s="3">
        <f t="shared" ref="BU156" si="241">+AVERAGE(BU157:BU161)</f>
        <v>22.199999999999996</v>
      </c>
      <c r="BV156" s="3">
        <f t="shared" ref="BV156" si="242">+AVERAGE(BV157:BV161)</f>
        <v>654079.12500000012</v>
      </c>
      <c r="BW156" s="3">
        <f t="shared" ref="BW156" si="243">+AVERAGE(BW157:BW161)</f>
        <v>12.4575</v>
      </c>
      <c r="BX156" s="3">
        <f t="shared" ref="BX156" si="244">+AVERAGE(BX157:BX161)</f>
        <v>18.625</v>
      </c>
      <c r="BY156" s="3">
        <f t="shared" ref="BY156" si="245">+AVERAGE(BY157:BY161)</f>
        <v>175.15</v>
      </c>
      <c r="BZ156" s="3">
        <f t="shared" ref="BZ156" si="246">+AVERAGE(BZ157:BZ161)</f>
        <v>68.449999999999989</v>
      </c>
      <c r="CA156" s="3">
        <f t="shared" ref="CA156" si="247">+AVERAGE(CA157:CA161)</f>
        <v>17.975000000000001</v>
      </c>
      <c r="CB156" s="3">
        <f t="shared" ref="CB156" si="248">+AVERAGE(CB157:CB161)</f>
        <v>21.4</v>
      </c>
      <c r="CC156" s="3">
        <f t="shared" ref="CC156" si="249">+AVERAGE(CC157:CC161)</f>
        <v>760126.65</v>
      </c>
      <c r="CD156" s="3">
        <f t="shared" ref="CD156" si="250">+AVERAGE(CD157:CD161)</f>
        <v>13.195000000000002</v>
      </c>
      <c r="CE156" s="3">
        <f t="shared" ref="CE156" si="251">+AVERAGE(CE157:CE161)</f>
        <v>22.625000000000004</v>
      </c>
      <c r="CF156" s="3">
        <f t="shared" ref="CF156" si="252">+AVERAGE(CF157:CF161)</f>
        <v>216.47499999999999</v>
      </c>
      <c r="CG156" s="3">
        <f t="shared" ref="CG156" si="253">+AVERAGE(CG157:CG161)</f>
        <v>61.625</v>
      </c>
      <c r="CH156" s="3">
        <f t="shared" ref="CH156" si="254">+AVERAGE(CH157:CH161)</f>
        <v>20.875</v>
      </c>
      <c r="CI156" s="3">
        <f t="shared" ref="CI156" si="255">+AVERAGE(CI157:CI161)</f>
        <v>6.75</v>
      </c>
      <c r="CJ156" s="3">
        <f t="shared" ref="CJ156" si="256">+AVERAGE(CJ157:CJ161)</f>
        <v>901696.125</v>
      </c>
      <c r="CK156" s="3">
        <f t="shared" ref="CK156" si="257">+AVERAGE(CK157:CK161)</f>
        <v>14.34</v>
      </c>
      <c r="CL156" s="3">
        <f t="shared" ref="CL156" si="258">+AVERAGE(CL157:CL161)</f>
        <v>26.8</v>
      </c>
      <c r="CM156" s="3">
        <f t="shared" ref="CM156" si="259">+AVERAGE(CM157:CM161)</f>
        <v>276.14999999999998</v>
      </c>
      <c r="CN156" s="3">
        <f t="shared" ref="CN156" si="260">+AVERAGE(CN157:CN161)</f>
        <v>57</v>
      </c>
      <c r="CP156" s="3">
        <v>204.8839893083333</v>
      </c>
      <c r="CQ156" s="3">
        <v>357.71587473362189</v>
      </c>
      <c r="CR156" s="3">
        <v>322.98543302087501</v>
      </c>
      <c r="CS156" s="3">
        <v>251.33925340010413</v>
      </c>
      <c r="CT156" s="3">
        <v>238.07175714163543</v>
      </c>
      <c r="CU156" s="7">
        <v>0.06</v>
      </c>
      <c r="CV156" s="7">
        <v>0.14000000000000001</v>
      </c>
      <c r="CW156" s="7">
        <v>7.0000000000000007E-2</v>
      </c>
      <c r="CX156" s="7">
        <v>0.04</v>
      </c>
      <c r="CY156" s="3">
        <f t="shared" si="177"/>
        <v>93.797531130612526</v>
      </c>
      <c r="CZ156">
        <v>1468</v>
      </c>
      <c r="DA156">
        <v>695</v>
      </c>
      <c r="DB156">
        <v>628010</v>
      </c>
      <c r="DC156">
        <v>1524</v>
      </c>
      <c r="DE156" t="s">
        <v>146</v>
      </c>
      <c r="DK156" s="5">
        <v>1759.4976019012299</v>
      </c>
      <c r="DM156" s="5">
        <v>851.42906210853846</v>
      </c>
    </row>
    <row r="157" spans="1:117" x14ac:dyDescent="0.25">
      <c r="A157" t="s">
        <v>154</v>
      </c>
      <c r="B157" t="s">
        <v>153</v>
      </c>
      <c r="C157">
        <v>118.01770500000001</v>
      </c>
      <c r="D157">
        <v>-33.971339999999998</v>
      </c>
      <c r="E157" s="4">
        <v>2016</v>
      </c>
      <c r="F157" t="s">
        <v>153</v>
      </c>
      <c r="G157" t="s">
        <v>139</v>
      </c>
      <c r="H157" t="s">
        <v>142</v>
      </c>
      <c r="I157" s="3">
        <f>+AVERAGE(I158:I161)</f>
        <v>21.2</v>
      </c>
      <c r="J157" s="3">
        <f>+AVERAGE(J158:J161)</f>
        <v>6.7</v>
      </c>
      <c r="K157" s="3">
        <f>+AVERAGE(K158:K161)</f>
        <v>896505.75</v>
      </c>
      <c r="L157" s="3">
        <f>+AVERAGE(L158:L161)</f>
        <v>15.0425</v>
      </c>
      <c r="M157" s="3">
        <f>+AVERAGE(M158:M161)</f>
        <v>28.425000000000001</v>
      </c>
      <c r="N157" s="3">
        <f>+AVERAGE(N158:N161)</f>
        <v>282.85000000000002</v>
      </c>
      <c r="O157" s="3">
        <f>+AVERAGE(O158:O161)</f>
        <v>57.4</v>
      </c>
      <c r="P157" s="3">
        <f>+AVERAGE(P158:P161)</f>
        <v>21.074999999999999</v>
      </c>
      <c r="Q157" s="3">
        <f>+AVERAGE(Q158:Q161)</f>
        <v>42.8</v>
      </c>
      <c r="R157" s="3">
        <f>+AVERAGE(R158:R161)</f>
        <v>674584.77500000002</v>
      </c>
      <c r="S157" s="3">
        <f>+AVERAGE(S158:S161)</f>
        <v>15.2325</v>
      </c>
      <c r="T157" s="3">
        <f>+AVERAGE(T158:T161)</f>
        <v>26.6</v>
      </c>
      <c r="U157" s="3">
        <f>+AVERAGE(U158:U161)</f>
        <v>207.17500000000001</v>
      </c>
      <c r="V157" s="3">
        <f>+AVERAGE(V158:V161)</f>
        <v>64.5</v>
      </c>
      <c r="W157" s="3">
        <f>+AVERAGE(W158:W161)</f>
        <v>19.850000000000001</v>
      </c>
      <c r="X157" s="3">
        <f>+AVERAGE(X158:X161)</f>
        <v>32.549999999999997</v>
      </c>
      <c r="Y157" s="3">
        <f>+AVERAGE(Y158:Y161)</f>
        <v>589206.375</v>
      </c>
      <c r="Z157" s="3">
        <f>+AVERAGE(Z158:Z161)</f>
        <v>13.677499999999998</v>
      </c>
      <c r="AA157" s="3">
        <f>+AVERAGE(AA158:AA161)</f>
        <v>23.400000000000002</v>
      </c>
      <c r="AB157" s="3">
        <f>+AVERAGE(AB158:AB161)</f>
        <v>177.2</v>
      </c>
      <c r="AC157" s="3">
        <f>+AVERAGE(AC158:AC161)</f>
        <v>67.150000000000006</v>
      </c>
      <c r="AD157" s="3">
        <f>+AVERAGE(AD158:AD161)</f>
        <v>17.649999999999999</v>
      </c>
      <c r="AE157" s="3">
        <f>+AVERAGE(AE158:AE161)</f>
        <v>13.850000000000001</v>
      </c>
      <c r="AF157" s="3">
        <f>+AVERAGE(AF158:AF161)</f>
        <v>442092.12499999994</v>
      </c>
      <c r="AG157" s="3">
        <f>+AVERAGE(AG158:AG161)</f>
        <v>10.7575</v>
      </c>
      <c r="AH157" s="3">
        <f>+AVERAGE(AH158:AH161)</f>
        <v>19.675000000000004</v>
      </c>
      <c r="AI157" s="3">
        <f>+AVERAGE(AI158:AI161)</f>
        <v>128.6</v>
      </c>
      <c r="AJ157" s="3">
        <f>+AVERAGE(AJ158:AJ161)</f>
        <v>68.55</v>
      </c>
      <c r="AK157" s="3">
        <f>+AVERAGE(AK158:AK161)</f>
        <v>14.675000000000001</v>
      </c>
      <c r="AL157" s="3">
        <f>+AVERAGE(AL158:AL161)</f>
        <v>23.1</v>
      </c>
      <c r="AM157" s="3">
        <f>+AVERAGE(AM158:AM161)</f>
        <v>351210.4</v>
      </c>
      <c r="AN157" s="3">
        <f>+AVERAGE(AN158:AN161)</f>
        <v>11.215</v>
      </c>
      <c r="AO157" s="3">
        <f>+AVERAGE(AO158:AO161)</f>
        <v>15.200000000000001</v>
      </c>
      <c r="AP157" s="3">
        <f>+AVERAGE(AP158:AP161)</f>
        <v>103.95000000000002</v>
      </c>
      <c r="AQ157" s="3">
        <f>+AVERAGE(AQ158:AQ161)</f>
        <v>67.95</v>
      </c>
      <c r="AR157" s="3">
        <f>+AVERAGE(AR158:AR161)</f>
        <v>13.45</v>
      </c>
      <c r="AS157" s="3">
        <f>+AVERAGE(AS158:AS161)</f>
        <v>30.55</v>
      </c>
      <c r="AT157" s="3">
        <f>+AVERAGE(AT158:AT161)</f>
        <v>265410.32500000001</v>
      </c>
      <c r="AU157" s="3">
        <f>+AVERAGE(AU158:AU161)</f>
        <v>12.27</v>
      </c>
      <c r="AV157" s="3">
        <f>+AVERAGE(AV158:AV161)</f>
        <v>12.7</v>
      </c>
      <c r="AW157" s="3">
        <f>+AVERAGE(AW158:AW161)</f>
        <v>71.199999999999989</v>
      </c>
      <c r="AX157" s="3">
        <f>+AVERAGE(AX158:AX161)</f>
        <v>74.449999999999989</v>
      </c>
      <c r="AY157" s="3">
        <f>+AVERAGE(AY158:AY161)</f>
        <v>12.25</v>
      </c>
      <c r="AZ157" s="3">
        <f>+AVERAGE(AZ158:AZ161)</f>
        <v>28.549999999999997</v>
      </c>
      <c r="BA157" s="3">
        <f>+AVERAGE(BA158:BA161)</f>
        <v>251470.72499999998</v>
      </c>
      <c r="BB157" s="3">
        <f>+AVERAGE(BB158:BB161)</f>
        <v>13.087500000000002</v>
      </c>
      <c r="BC157" s="3">
        <f>+AVERAGE(BC158:BC161)</f>
        <v>11.25</v>
      </c>
      <c r="BD157" s="3">
        <f>+AVERAGE(BD158:BD161)</f>
        <v>56.350000000000009</v>
      </c>
      <c r="BE157" s="3">
        <f>+AVERAGE(BE158:BE161)</f>
        <v>80.224999999999994</v>
      </c>
      <c r="BF157" s="3">
        <f>+AVERAGE(BF158:BF161)</f>
        <v>12.175000000000001</v>
      </c>
      <c r="BG157" s="3">
        <f>+AVERAGE(BG158:BG161)</f>
        <v>51.25</v>
      </c>
      <c r="BH157" s="3">
        <f>+AVERAGE(BH158:BH161)</f>
        <v>385857.95</v>
      </c>
      <c r="BI157" s="3">
        <f>+AVERAGE(BI158:BI161)</f>
        <v>13.200000000000001</v>
      </c>
      <c r="BJ157" s="3">
        <f>+AVERAGE(BJ158:BJ161)</f>
        <v>11.75</v>
      </c>
      <c r="BK157" s="3">
        <f>+AVERAGE(BK158:BK161)</f>
        <v>83.924999999999997</v>
      </c>
      <c r="BL157" s="3">
        <f>+AVERAGE(BL158:BL161)</f>
        <v>80.400000000000006</v>
      </c>
      <c r="BM157" s="3">
        <f>+AVERAGE(BM158:BM161)</f>
        <v>13.850000000000001</v>
      </c>
      <c r="BN157" s="3">
        <f>+AVERAGE(BN158:BN161)</f>
        <v>28.599999999999998</v>
      </c>
      <c r="BO157" s="3">
        <f>+AVERAGE(BO158:BO161)</f>
        <v>515686.24999999994</v>
      </c>
      <c r="BP157" s="3">
        <f>+AVERAGE(BP158:BP161)</f>
        <v>12.407499999999999</v>
      </c>
      <c r="BQ157" s="3">
        <f>+AVERAGE(BQ158:BQ161)</f>
        <v>14.775</v>
      </c>
      <c r="BR157" s="3">
        <f>+AVERAGE(BR158:BR161)</f>
        <v>125.27500000000001</v>
      </c>
      <c r="BS157" s="3">
        <f>+AVERAGE(BS158:BS161)</f>
        <v>74.725000000000009</v>
      </c>
      <c r="BT157" s="3">
        <f>+AVERAGE(BT158:BT161)</f>
        <v>16.175000000000001</v>
      </c>
      <c r="BU157" s="3">
        <f>+AVERAGE(BU158:BU161)</f>
        <v>22.199999999999996</v>
      </c>
      <c r="BV157" s="3">
        <f>+AVERAGE(BV158:BV161)</f>
        <v>654079.125</v>
      </c>
      <c r="BW157" s="3">
        <f>+AVERAGE(BW158:BW161)</f>
        <v>12.4575</v>
      </c>
      <c r="BX157" s="3">
        <f>+AVERAGE(BX158:BX161)</f>
        <v>18.625</v>
      </c>
      <c r="BY157" s="3">
        <f>+AVERAGE(BY158:BY161)</f>
        <v>175.15</v>
      </c>
      <c r="BZ157" s="3">
        <f>+AVERAGE(BZ158:BZ161)</f>
        <v>68.449999999999989</v>
      </c>
      <c r="CA157" s="3">
        <f>+AVERAGE(CA158:CA161)</f>
        <v>17.975000000000001</v>
      </c>
      <c r="CB157" s="3">
        <f>+AVERAGE(CB158:CB161)</f>
        <v>21.4</v>
      </c>
      <c r="CC157" s="3">
        <f>+AVERAGE(CC158:CC161)</f>
        <v>760126.65000000014</v>
      </c>
      <c r="CD157" s="3">
        <f>+AVERAGE(CD158:CD161)</f>
        <v>13.195</v>
      </c>
      <c r="CE157" s="3">
        <f>+AVERAGE(CE158:CE161)</f>
        <v>22.625</v>
      </c>
      <c r="CF157" s="3">
        <f>+AVERAGE(CF158:CF161)</f>
        <v>216.47500000000002</v>
      </c>
      <c r="CG157" s="3">
        <f>+AVERAGE(CG158:CG161)</f>
        <v>61.625</v>
      </c>
      <c r="CH157" s="3">
        <f>+AVERAGE(CH158:CH161)</f>
        <v>20.875</v>
      </c>
      <c r="CI157" s="3">
        <f>+AVERAGE(CI158:CI161)</f>
        <v>6.7499999999999991</v>
      </c>
      <c r="CJ157" s="3">
        <f>+AVERAGE(CJ158:CJ161)</f>
        <v>901696.125</v>
      </c>
      <c r="CK157" s="3">
        <f>+AVERAGE(CK158:CK161)</f>
        <v>14.34</v>
      </c>
      <c r="CL157" s="3">
        <f>+AVERAGE(CL158:CL161)</f>
        <v>26.799999999999997</v>
      </c>
      <c r="CM157" s="3">
        <f>+AVERAGE(CM158:CM161)</f>
        <v>276.14999999999998</v>
      </c>
      <c r="CN157" s="3">
        <f>+AVERAGE(CN158:CN161)</f>
        <v>57</v>
      </c>
      <c r="CP157" s="3">
        <v>133.12695639999998</v>
      </c>
      <c r="CQ157" s="3">
        <v>265.94031967119787</v>
      </c>
      <c r="CR157" s="3">
        <v>244.36784107392498</v>
      </c>
      <c r="CS157" s="3">
        <v>168.48709864302083</v>
      </c>
      <c r="CT157" s="3">
        <v>219.627445633875</v>
      </c>
      <c r="CU157" s="7">
        <v>0.06</v>
      </c>
      <c r="CV157" s="7">
        <v>0.14000000000000001</v>
      </c>
      <c r="CW157" s="7">
        <v>7.0000000000000007E-2</v>
      </c>
      <c r="CX157" s="7">
        <v>0.04</v>
      </c>
      <c r="CY157" s="3">
        <f t="shared" si="177"/>
        <v>70.747111660987827</v>
      </c>
      <c r="CZ157">
        <v>1426</v>
      </c>
      <c r="DA157">
        <v>702</v>
      </c>
      <c r="DB157">
        <v>459370</v>
      </c>
      <c r="DC157">
        <v>1326</v>
      </c>
      <c r="DE157" t="s">
        <v>146</v>
      </c>
      <c r="DK157" s="5">
        <v>1709.1577522555544</v>
      </c>
      <c r="DM157" s="5">
        <v>860.00460661898421</v>
      </c>
    </row>
    <row r="158" spans="1:117" x14ac:dyDescent="0.25">
      <c r="A158" t="s">
        <v>154</v>
      </c>
      <c r="B158" t="s">
        <v>153</v>
      </c>
      <c r="C158">
        <v>118.01770500000001</v>
      </c>
      <c r="D158">
        <v>-33.971339999999998</v>
      </c>
      <c r="E158">
        <v>2017</v>
      </c>
      <c r="F158" t="s">
        <v>153</v>
      </c>
      <c r="G158" t="s">
        <v>139</v>
      </c>
      <c r="H158" t="s">
        <v>142</v>
      </c>
      <c r="I158">
        <v>21.5</v>
      </c>
      <c r="J158">
        <v>0</v>
      </c>
      <c r="K158">
        <v>920483.7</v>
      </c>
      <c r="L158">
        <v>14.41</v>
      </c>
      <c r="M158">
        <v>29</v>
      </c>
      <c r="N158">
        <v>297.2</v>
      </c>
      <c r="O158">
        <v>55.2</v>
      </c>
      <c r="P158">
        <v>20.100000000000001</v>
      </c>
      <c r="Q158">
        <v>141.4</v>
      </c>
      <c r="R158">
        <v>633044.30000000005</v>
      </c>
      <c r="S158">
        <v>14.77</v>
      </c>
      <c r="T158">
        <v>24.5</v>
      </c>
      <c r="U158">
        <v>174.9</v>
      </c>
      <c r="V158">
        <v>69.5</v>
      </c>
      <c r="W158">
        <v>18.899999999999999</v>
      </c>
      <c r="X158">
        <v>37.799999999999997</v>
      </c>
      <c r="Y158">
        <v>589495</v>
      </c>
      <c r="Z158">
        <v>11.9</v>
      </c>
      <c r="AA158">
        <v>22.1</v>
      </c>
      <c r="AB158">
        <v>164.1</v>
      </c>
      <c r="AC158">
        <v>71.099999999999994</v>
      </c>
      <c r="AD158">
        <v>17.3</v>
      </c>
      <c r="AE158">
        <v>15.2</v>
      </c>
      <c r="AF158">
        <v>444888.7</v>
      </c>
      <c r="AG158">
        <v>6.25</v>
      </c>
      <c r="AH158">
        <v>19.3</v>
      </c>
      <c r="AI158">
        <v>112.6</v>
      </c>
      <c r="AJ158">
        <v>74.2</v>
      </c>
      <c r="AK158">
        <v>15</v>
      </c>
      <c r="AL158">
        <v>28</v>
      </c>
      <c r="AM158">
        <v>344963.4</v>
      </c>
      <c r="AN158">
        <v>7.24</v>
      </c>
      <c r="AO158">
        <v>15.3</v>
      </c>
      <c r="AP158">
        <v>83.4</v>
      </c>
      <c r="AQ158">
        <v>73</v>
      </c>
      <c r="AR158">
        <v>13.6</v>
      </c>
      <c r="AS158">
        <v>8</v>
      </c>
      <c r="AT158">
        <v>274069.8</v>
      </c>
      <c r="AU158">
        <v>8.39</v>
      </c>
      <c r="AV158">
        <v>13.2</v>
      </c>
      <c r="AW158">
        <v>73</v>
      </c>
      <c r="AX158">
        <v>72.2</v>
      </c>
      <c r="AY158">
        <v>11.6</v>
      </c>
      <c r="AZ158">
        <v>41</v>
      </c>
      <c r="BA158">
        <v>270357.09999999998</v>
      </c>
      <c r="BB158">
        <v>15.76</v>
      </c>
      <c r="BC158">
        <v>10.6</v>
      </c>
      <c r="BD158">
        <v>62.2</v>
      </c>
      <c r="BE158">
        <v>82.6</v>
      </c>
      <c r="BF158">
        <v>12.4</v>
      </c>
      <c r="BG158">
        <v>46.2</v>
      </c>
      <c r="BH158">
        <v>365038</v>
      </c>
      <c r="BI158">
        <v>14.82</v>
      </c>
      <c r="BJ158">
        <v>11.8</v>
      </c>
      <c r="BK158">
        <v>77.599999999999994</v>
      </c>
      <c r="BL158">
        <v>81.900000000000006</v>
      </c>
      <c r="BM158">
        <v>13.7</v>
      </c>
      <c r="BN158">
        <v>65.8</v>
      </c>
      <c r="BO158">
        <v>470143.6</v>
      </c>
      <c r="BP158">
        <v>12.12</v>
      </c>
      <c r="BQ158">
        <v>14.4</v>
      </c>
      <c r="BR158">
        <v>113.9</v>
      </c>
      <c r="BS158">
        <v>76.7</v>
      </c>
      <c r="BT158">
        <v>15.6</v>
      </c>
      <c r="BU158">
        <v>19.2</v>
      </c>
      <c r="BV158">
        <v>644788.1</v>
      </c>
      <c r="BW158">
        <v>13.71</v>
      </c>
      <c r="BX158">
        <v>17.100000000000001</v>
      </c>
      <c r="BY158">
        <v>162.69999999999999</v>
      </c>
      <c r="BZ158">
        <v>71.099999999999994</v>
      </c>
      <c r="CA158">
        <v>19</v>
      </c>
      <c r="CB158">
        <v>6</v>
      </c>
      <c r="CC158">
        <v>762419.9</v>
      </c>
      <c r="CD158">
        <v>13.77</v>
      </c>
      <c r="CE158">
        <v>23.2</v>
      </c>
      <c r="CF158">
        <v>225.6</v>
      </c>
      <c r="CG158">
        <v>61.6</v>
      </c>
      <c r="CH158">
        <v>20.3</v>
      </c>
      <c r="CI158">
        <v>16.2</v>
      </c>
      <c r="CJ158">
        <v>856703.4</v>
      </c>
      <c r="CK158">
        <v>13.67</v>
      </c>
      <c r="CL158">
        <v>25.5</v>
      </c>
      <c r="CM158">
        <v>252.5</v>
      </c>
      <c r="CN158">
        <v>58.5</v>
      </c>
      <c r="CP158" s="3">
        <v>119.07146077499999</v>
      </c>
      <c r="CQ158" s="3">
        <v>235.14453102913441</v>
      </c>
      <c r="CR158" s="3">
        <v>211.74875985799997</v>
      </c>
      <c r="CS158" s="3">
        <v>150.26687985202918</v>
      </c>
      <c r="CT158" s="3">
        <v>166.58352970400003</v>
      </c>
      <c r="CU158" s="7">
        <v>0.06</v>
      </c>
      <c r="CV158" s="7">
        <v>0.14000000000000001</v>
      </c>
      <c r="CW158" s="7">
        <v>7.0000000000000007E-2</v>
      </c>
      <c r="CX158" s="7">
        <v>0.04</v>
      </c>
      <c r="CY158" s="3">
        <f t="shared" si="177"/>
        <v>60.935521019670105</v>
      </c>
      <c r="CZ158">
        <v>1498</v>
      </c>
      <c r="DA158">
        <v>652</v>
      </c>
      <c r="DB158">
        <v>501380</v>
      </c>
      <c r="DC158">
        <v>1435</v>
      </c>
      <c r="DE158" t="s">
        <v>146</v>
      </c>
      <c r="DK158" s="5">
        <v>1795.4546373624266</v>
      </c>
      <c r="DM158" s="5">
        <v>798.75071725865769</v>
      </c>
    </row>
    <row r="159" spans="1:117" x14ac:dyDescent="0.25">
      <c r="A159" t="s">
        <v>154</v>
      </c>
      <c r="B159" t="s">
        <v>153</v>
      </c>
      <c r="C159">
        <v>118.01770500000001</v>
      </c>
      <c r="D159">
        <v>-33.971339999999998</v>
      </c>
      <c r="E159">
        <v>2018</v>
      </c>
      <c r="F159" t="s">
        <v>153</v>
      </c>
      <c r="G159" t="s">
        <v>139</v>
      </c>
      <c r="H159" t="s">
        <v>142</v>
      </c>
      <c r="I159">
        <v>21.1</v>
      </c>
      <c r="J159">
        <v>23</v>
      </c>
      <c r="K159">
        <v>856487.9</v>
      </c>
      <c r="L159">
        <v>16.149999999999999</v>
      </c>
      <c r="M159">
        <v>27.6</v>
      </c>
      <c r="N159">
        <v>267.3</v>
      </c>
      <c r="O159">
        <v>59.9</v>
      </c>
      <c r="P159">
        <v>21.1</v>
      </c>
      <c r="Q159">
        <v>5.4</v>
      </c>
      <c r="R159">
        <v>663431.19999999995</v>
      </c>
      <c r="S159">
        <v>14</v>
      </c>
      <c r="T159">
        <v>27</v>
      </c>
      <c r="U159">
        <v>203.1</v>
      </c>
      <c r="V159">
        <v>64</v>
      </c>
      <c r="W159">
        <v>20.399999999999999</v>
      </c>
      <c r="X159">
        <v>19.8</v>
      </c>
      <c r="Y159">
        <v>602933.5</v>
      </c>
      <c r="Z159">
        <v>14.39</v>
      </c>
      <c r="AA159">
        <v>24.5</v>
      </c>
      <c r="AB159">
        <v>194.1</v>
      </c>
      <c r="AC159">
        <v>63.5</v>
      </c>
      <c r="AD159">
        <v>18</v>
      </c>
      <c r="AE159">
        <v>11.4</v>
      </c>
      <c r="AF159">
        <v>430308</v>
      </c>
      <c r="AG159">
        <v>11.79</v>
      </c>
      <c r="AH159">
        <v>20.100000000000001</v>
      </c>
      <c r="AI159">
        <v>127.2</v>
      </c>
      <c r="AJ159">
        <v>67.7</v>
      </c>
      <c r="AK159">
        <v>15.2</v>
      </c>
      <c r="AL159">
        <v>12.6</v>
      </c>
      <c r="AM159">
        <v>354919.6</v>
      </c>
      <c r="AN159">
        <v>12.47</v>
      </c>
      <c r="AO159">
        <v>15.7</v>
      </c>
      <c r="AP159">
        <v>120.4</v>
      </c>
      <c r="AQ159">
        <v>63.7</v>
      </c>
      <c r="AR159">
        <v>12.9</v>
      </c>
      <c r="AS159">
        <v>42.8</v>
      </c>
      <c r="AT159">
        <v>255720.5</v>
      </c>
      <c r="AU159">
        <v>11.44</v>
      </c>
      <c r="AV159">
        <v>12.1</v>
      </c>
      <c r="AW159">
        <v>56</v>
      </c>
      <c r="AX159">
        <v>80.5</v>
      </c>
      <c r="AY159">
        <v>12.4</v>
      </c>
      <c r="AZ159">
        <v>11.4</v>
      </c>
      <c r="BA159">
        <v>137000.1</v>
      </c>
      <c r="BB159">
        <v>12.84</v>
      </c>
      <c r="BC159">
        <v>11.1</v>
      </c>
      <c r="BD159">
        <v>31.1</v>
      </c>
      <c r="BE159">
        <v>76.7</v>
      </c>
      <c r="BF159">
        <v>11.6</v>
      </c>
      <c r="BG159">
        <v>61.6</v>
      </c>
      <c r="BH159">
        <v>374037.4</v>
      </c>
      <c r="BI159">
        <v>14.31</v>
      </c>
      <c r="BJ159">
        <v>11.2</v>
      </c>
      <c r="BK159">
        <v>80.099999999999994</v>
      </c>
      <c r="BL159">
        <v>81.7</v>
      </c>
      <c r="BM159">
        <v>13.3</v>
      </c>
      <c r="BN159">
        <v>12</v>
      </c>
      <c r="BO159">
        <v>515956.3</v>
      </c>
      <c r="BP159">
        <v>13.1</v>
      </c>
      <c r="BQ159">
        <v>14.5</v>
      </c>
      <c r="BR159">
        <v>122.1</v>
      </c>
      <c r="BS159">
        <v>74.599999999999994</v>
      </c>
      <c r="BT159">
        <v>16.2</v>
      </c>
      <c r="BU159">
        <v>36.4</v>
      </c>
      <c r="BV159">
        <v>603786.1</v>
      </c>
      <c r="BW159">
        <v>13.29</v>
      </c>
      <c r="BX159">
        <v>18.899999999999999</v>
      </c>
      <c r="BY159">
        <v>159.19999999999999</v>
      </c>
      <c r="BZ159">
        <v>72.3</v>
      </c>
      <c r="CA159">
        <v>16.8</v>
      </c>
      <c r="CB159">
        <v>36.4</v>
      </c>
      <c r="CC159">
        <v>723496.7</v>
      </c>
      <c r="CD159">
        <v>13.4</v>
      </c>
      <c r="CE159">
        <v>21.7</v>
      </c>
      <c r="CF159">
        <v>195.9</v>
      </c>
      <c r="CG159">
        <v>64</v>
      </c>
      <c r="CH159">
        <v>20.5</v>
      </c>
      <c r="CI159">
        <v>9</v>
      </c>
      <c r="CJ159">
        <v>893013.4</v>
      </c>
      <c r="CK159">
        <v>13.36</v>
      </c>
      <c r="CL159">
        <v>25.8</v>
      </c>
      <c r="CM159">
        <v>265.10000000000002</v>
      </c>
      <c r="CN159">
        <v>59.1</v>
      </c>
      <c r="CP159" s="3">
        <v>149.45420497500001</v>
      </c>
      <c r="CQ159" s="3">
        <v>274.57347051901041</v>
      </c>
      <c r="CR159" s="3">
        <v>237.4236465424917</v>
      </c>
      <c r="CS159" s="3">
        <v>174.41377918435418</v>
      </c>
      <c r="CT159" s="3">
        <v>166.56083829114584</v>
      </c>
      <c r="CU159" s="7">
        <v>0.06</v>
      </c>
      <c r="CV159" s="7">
        <v>0.14000000000000001</v>
      </c>
      <c r="CW159" s="7">
        <v>7.0000000000000007E-2</v>
      </c>
      <c r="CX159" s="7">
        <v>0.04</v>
      </c>
      <c r="CY159" s="3">
        <f t="shared" si="177"/>
        <v>68.585116821640085</v>
      </c>
      <c r="CZ159">
        <v>1364</v>
      </c>
      <c r="DA159">
        <v>600</v>
      </c>
      <c r="DB159">
        <v>496060</v>
      </c>
      <c r="DC159">
        <v>1349</v>
      </c>
      <c r="DE159" t="s">
        <v>146</v>
      </c>
      <c r="DK159" s="5">
        <v>1634.8465456357476</v>
      </c>
      <c r="DM159" s="5">
        <v>735.04667232391807</v>
      </c>
    </row>
    <row r="160" spans="1:117" x14ac:dyDescent="0.25">
      <c r="A160" t="s">
        <v>154</v>
      </c>
      <c r="B160" t="s">
        <v>153</v>
      </c>
      <c r="C160">
        <v>118.01770500000001</v>
      </c>
      <c r="D160">
        <v>-33.971339999999998</v>
      </c>
      <c r="E160">
        <v>2019</v>
      </c>
      <c r="F160" t="s">
        <v>153</v>
      </c>
      <c r="G160" t="s">
        <v>139</v>
      </c>
      <c r="H160" t="s">
        <v>142</v>
      </c>
      <c r="I160">
        <v>21.2</v>
      </c>
      <c r="J160">
        <v>3.2</v>
      </c>
      <c r="K160">
        <v>931530.4</v>
      </c>
      <c r="L160">
        <v>15.12</v>
      </c>
      <c r="M160">
        <v>28.4</v>
      </c>
      <c r="N160">
        <v>291</v>
      </c>
      <c r="O160">
        <v>57.1</v>
      </c>
      <c r="P160">
        <v>21.3</v>
      </c>
      <c r="Q160">
        <v>0.2</v>
      </c>
      <c r="R160">
        <v>752516.1</v>
      </c>
      <c r="S160">
        <v>15.58</v>
      </c>
      <c r="T160">
        <v>28.5</v>
      </c>
      <c r="U160">
        <v>239.9</v>
      </c>
      <c r="V160">
        <v>60.4</v>
      </c>
      <c r="W160">
        <v>19.7</v>
      </c>
      <c r="X160">
        <v>48.8</v>
      </c>
      <c r="Y160">
        <v>579018.6</v>
      </c>
      <c r="Z160">
        <v>13.19</v>
      </c>
      <c r="AA160">
        <v>23.8</v>
      </c>
      <c r="AB160">
        <v>164.9</v>
      </c>
      <c r="AC160">
        <v>69.2</v>
      </c>
      <c r="AD160">
        <v>17</v>
      </c>
      <c r="AE160">
        <v>18.8</v>
      </c>
      <c r="AF160">
        <v>454249.6</v>
      </c>
      <c r="AG160">
        <v>12.6</v>
      </c>
      <c r="AH160">
        <v>18.7</v>
      </c>
      <c r="AI160">
        <v>138.19999999999999</v>
      </c>
      <c r="AJ160">
        <v>67.099999999999994</v>
      </c>
      <c r="AK160">
        <v>13.9</v>
      </c>
      <c r="AL160">
        <v>13.6</v>
      </c>
      <c r="AM160">
        <v>355734.5</v>
      </c>
      <c r="AN160">
        <v>10.51</v>
      </c>
      <c r="AO160">
        <v>14.7</v>
      </c>
      <c r="AP160">
        <v>102.4</v>
      </c>
      <c r="AQ160">
        <v>67.3</v>
      </c>
      <c r="AR160">
        <v>13</v>
      </c>
      <c r="AS160">
        <v>38.200000000000003</v>
      </c>
      <c r="AT160">
        <v>261323.2</v>
      </c>
      <c r="AU160">
        <v>15.42</v>
      </c>
      <c r="AV160">
        <v>12.2</v>
      </c>
      <c r="AW160">
        <v>78.7</v>
      </c>
      <c r="AX160">
        <v>73.5</v>
      </c>
      <c r="AY160">
        <v>12.4</v>
      </c>
      <c r="AZ160">
        <v>32.200000000000003</v>
      </c>
      <c r="BA160">
        <v>290927.40000000002</v>
      </c>
      <c r="BB160">
        <v>11.02</v>
      </c>
      <c r="BC160">
        <v>11.5</v>
      </c>
      <c r="BD160">
        <v>60.3</v>
      </c>
      <c r="BE160">
        <v>81.7</v>
      </c>
      <c r="BF160">
        <v>12.5</v>
      </c>
      <c r="BG160">
        <v>26.6</v>
      </c>
      <c r="BH160">
        <v>410521.2</v>
      </c>
      <c r="BI160">
        <v>10.88</v>
      </c>
      <c r="BJ160">
        <v>11.9</v>
      </c>
      <c r="BK160">
        <v>90.9</v>
      </c>
      <c r="BL160">
        <v>77.400000000000006</v>
      </c>
      <c r="BM160">
        <v>14.6</v>
      </c>
      <c r="BN160">
        <v>6.6</v>
      </c>
      <c r="BO160">
        <v>550123.4</v>
      </c>
      <c r="BP160">
        <v>10.72</v>
      </c>
      <c r="BQ160">
        <v>15.1</v>
      </c>
      <c r="BR160">
        <v>133.6</v>
      </c>
      <c r="BS160">
        <v>73.3</v>
      </c>
      <c r="BT160">
        <v>16.600000000000001</v>
      </c>
      <c r="BU160">
        <v>27.6</v>
      </c>
      <c r="BV160">
        <v>682359.2</v>
      </c>
      <c r="BW160">
        <v>11.3</v>
      </c>
      <c r="BX160">
        <v>18.7</v>
      </c>
      <c r="BY160">
        <v>187.1</v>
      </c>
      <c r="BZ160">
        <v>66.5</v>
      </c>
      <c r="CA160">
        <v>18.5</v>
      </c>
      <c r="CB160">
        <v>2.2000000000000002</v>
      </c>
      <c r="CC160">
        <v>870202.8</v>
      </c>
      <c r="CD160">
        <v>12.96</v>
      </c>
      <c r="CE160">
        <v>24.4</v>
      </c>
      <c r="CF160">
        <v>249.6</v>
      </c>
      <c r="CG160">
        <v>56.7</v>
      </c>
      <c r="CH160">
        <v>22.6</v>
      </c>
      <c r="CI160">
        <v>1.4</v>
      </c>
      <c r="CJ160">
        <v>925650.3</v>
      </c>
      <c r="CK160">
        <v>14.5</v>
      </c>
      <c r="CL160">
        <v>29</v>
      </c>
      <c r="CM160">
        <v>301.7</v>
      </c>
      <c r="CN160">
        <v>54</v>
      </c>
      <c r="CP160" s="3">
        <v>151.20769046666666</v>
      </c>
      <c r="CQ160" s="3">
        <v>267.33967790703502</v>
      </c>
      <c r="CR160" s="3">
        <v>246.94953969827165</v>
      </c>
      <c r="CS160" s="3">
        <v>186.82042264949916</v>
      </c>
      <c r="CT160" s="3">
        <v>164.67061180174997</v>
      </c>
      <c r="CU160" s="7">
        <v>0.06</v>
      </c>
      <c r="CV160" s="7">
        <v>0.14000000000000001</v>
      </c>
      <c r="CW160" s="7">
        <v>7.0000000000000007E-2</v>
      </c>
      <c r="CX160" s="7">
        <v>0.04</v>
      </c>
      <c r="CY160" s="3">
        <f t="shared" si="177"/>
        <v>70.277570289715072</v>
      </c>
      <c r="CZ160">
        <v>1772</v>
      </c>
      <c r="DA160">
        <v>669</v>
      </c>
      <c r="DB160">
        <v>656390</v>
      </c>
      <c r="DC160">
        <v>1780</v>
      </c>
      <c r="DE160" t="s">
        <v>146</v>
      </c>
      <c r="DK160" s="5">
        <v>2123.8622279080241</v>
      </c>
      <c r="DM160" s="5">
        <v>819.57703964116865</v>
      </c>
    </row>
    <row r="161" spans="1:117" x14ac:dyDescent="0.25">
      <c r="A161" t="s">
        <v>154</v>
      </c>
      <c r="B161" t="s">
        <v>153</v>
      </c>
      <c r="C161">
        <v>118.01770500000001</v>
      </c>
      <c r="D161">
        <v>-33.971339999999998</v>
      </c>
      <c r="E161">
        <v>2020</v>
      </c>
      <c r="F161" t="s">
        <v>153</v>
      </c>
      <c r="G161" t="s">
        <v>139</v>
      </c>
      <c r="H161" t="s">
        <v>142</v>
      </c>
      <c r="I161">
        <v>21</v>
      </c>
      <c r="J161">
        <v>0.6</v>
      </c>
      <c r="K161">
        <v>877521</v>
      </c>
      <c r="L161">
        <v>14.49</v>
      </c>
      <c r="M161">
        <v>28.7</v>
      </c>
      <c r="N161">
        <v>275.89999999999998</v>
      </c>
      <c r="O161">
        <v>57.4</v>
      </c>
      <c r="P161">
        <v>21.8</v>
      </c>
      <c r="Q161">
        <v>24.2</v>
      </c>
      <c r="R161">
        <v>649347.5</v>
      </c>
      <c r="S161">
        <v>16.579999999999998</v>
      </c>
      <c r="T161">
        <v>26.4</v>
      </c>
      <c r="U161">
        <v>210.8</v>
      </c>
      <c r="V161">
        <v>64.099999999999994</v>
      </c>
      <c r="W161">
        <v>20.399999999999999</v>
      </c>
      <c r="X161">
        <v>23.8</v>
      </c>
      <c r="Y161">
        <v>585378.4</v>
      </c>
      <c r="Z161">
        <v>15.23</v>
      </c>
      <c r="AA161">
        <v>23.2</v>
      </c>
      <c r="AB161">
        <v>185.7</v>
      </c>
      <c r="AC161">
        <v>64.8</v>
      </c>
      <c r="AD161">
        <v>18.3</v>
      </c>
      <c r="AE161">
        <v>10</v>
      </c>
      <c r="AF161">
        <v>438922.2</v>
      </c>
      <c r="AG161">
        <v>12.39</v>
      </c>
      <c r="AH161">
        <v>20.6</v>
      </c>
      <c r="AI161">
        <v>136.4</v>
      </c>
      <c r="AJ161">
        <v>65.2</v>
      </c>
      <c r="AK161">
        <v>14.6</v>
      </c>
      <c r="AL161">
        <v>38.200000000000003</v>
      </c>
      <c r="AM161">
        <v>349224.1</v>
      </c>
      <c r="AN161">
        <v>14.64</v>
      </c>
      <c r="AO161">
        <v>15.1</v>
      </c>
      <c r="AP161">
        <v>109.6</v>
      </c>
      <c r="AQ161">
        <v>67.8</v>
      </c>
      <c r="AR161">
        <v>14.3</v>
      </c>
      <c r="AS161">
        <v>33.200000000000003</v>
      </c>
      <c r="AT161">
        <v>270527.8</v>
      </c>
      <c r="AU161">
        <v>13.83</v>
      </c>
      <c r="AV161">
        <v>13.3</v>
      </c>
      <c r="AW161">
        <v>77.099999999999994</v>
      </c>
      <c r="AX161">
        <v>71.599999999999994</v>
      </c>
      <c r="AY161">
        <v>12.6</v>
      </c>
      <c r="AZ161">
        <v>29.6</v>
      </c>
      <c r="BA161">
        <v>307598.3</v>
      </c>
      <c r="BB161">
        <v>12.73</v>
      </c>
      <c r="BC161">
        <v>11.8</v>
      </c>
      <c r="BD161">
        <v>71.8</v>
      </c>
      <c r="BE161">
        <v>79.900000000000006</v>
      </c>
      <c r="BF161">
        <v>12.2</v>
      </c>
      <c r="BG161">
        <v>70.599999999999994</v>
      </c>
      <c r="BH161">
        <v>393835.2</v>
      </c>
      <c r="BI161">
        <v>12.79</v>
      </c>
      <c r="BJ161">
        <v>12.1</v>
      </c>
      <c r="BK161">
        <v>87.1</v>
      </c>
      <c r="BL161">
        <v>80.599999999999994</v>
      </c>
      <c r="BM161">
        <v>13.8</v>
      </c>
      <c r="BN161">
        <v>30</v>
      </c>
      <c r="BO161">
        <v>526521.69999999995</v>
      </c>
      <c r="BP161">
        <v>13.69</v>
      </c>
      <c r="BQ161">
        <v>15.1</v>
      </c>
      <c r="BR161">
        <v>131.5</v>
      </c>
      <c r="BS161">
        <v>74.3</v>
      </c>
      <c r="BT161">
        <v>16.3</v>
      </c>
      <c r="BU161">
        <v>5.6</v>
      </c>
      <c r="BV161">
        <v>685383.1</v>
      </c>
      <c r="BW161">
        <v>11.53</v>
      </c>
      <c r="BX161">
        <v>19.8</v>
      </c>
      <c r="BY161">
        <v>191.6</v>
      </c>
      <c r="BZ161">
        <v>63.9</v>
      </c>
      <c r="CA161">
        <v>17.600000000000001</v>
      </c>
      <c r="CB161">
        <v>41</v>
      </c>
      <c r="CC161">
        <v>684387.2</v>
      </c>
      <c r="CD161">
        <v>12.65</v>
      </c>
      <c r="CE161">
        <v>21.2</v>
      </c>
      <c r="CF161">
        <v>194.8</v>
      </c>
      <c r="CG161">
        <v>64.2</v>
      </c>
      <c r="CH161">
        <v>20.100000000000001</v>
      </c>
      <c r="CI161">
        <v>0.4</v>
      </c>
      <c r="CJ161">
        <v>931417.4</v>
      </c>
      <c r="CK161">
        <v>15.83</v>
      </c>
      <c r="CL161">
        <v>26.9</v>
      </c>
      <c r="CM161">
        <v>285.3</v>
      </c>
      <c r="CN161">
        <v>56.4</v>
      </c>
      <c r="CP161" s="3">
        <v>137.12151142499999</v>
      </c>
      <c r="CQ161" s="3">
        <v>183.94377395835087</v>
      </c>
      <c r="CR161" s="3">
        <v>171.50265380089249</v>
      </c>
      <c r="CS161" s="3">
        <v>153.47587761539251</v>
      </c>
      <c r="CT161" s="3">
        <v>168.62831412656331</v>
      </c>
      <c r="CU161" s="7">
        <v>0.06</v>
      </c>
      <c r="CV161" s="7">
        <v>0.14000000000000001</v>
      </c>
      <c r="CW161" s="7">
        <v>7.0000000000000007E-2</v>
      </c>
      <c r="CX161" s="7">
        <v>0.04</v>
      </c>
      <c r="CY161" s="3">
        <f t="shared" si="177"/>
        <v>52.535441967766019</v>
      </c>
      <c r="CZ161">
        <v>1005</v>
      </c>
      <c r="DA161">
        <v>646</v>
      </c>
      <c r="DB161">
        <v>524950</v>
      </c>
      <c r="DC161">
        <v>1056</v>
      </c>
      <c r="DE161" t="s">
        <v>146</v>
      </c>
      <c r="DK161" s="5">
        <v>1204.5606879500926</v>
      </c>
      <c r="DM161" s="5">
        <v>791.40025053541854</v>
      </c>
    </row>
  </sheetData>
  <autoFilter ref="A1:DE161" xr:uid="{00000000-0001-0000-0000-000000000000}"/>
  <pageMargins left="0.7" right="0.7" top="0.75" bottom="0.75" header="0.3" footer="0.3"/>
  <ignoredErrors>
    <ignoredError sqref="I74:BS74 BS7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2026-04-25T11:00:12Z</dcterms:created>
  <dcterms:modified xsi:type="dcterms:W3CDTF">2026-04-26T10:34:18Z</dcterms:modified>
</cp:coreProperties>
</file>
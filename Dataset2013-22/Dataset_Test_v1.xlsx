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mi-proyecto-ml\"/>
    </mc:Choice>
  </mc:AlternateContent>
  <xr:revisionPtr revIDLastSave="0" documentId="13_ncr:1_{B65A49F7-9159-429E-99D0-22E6F3FCB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Set_13-22" sheetId="1" r:id="rId1"/>
  </sheets>
  <definedNames>
    <definedName name="_xlnm._FilterDatabase" localSheetId="0" hidden="1">'TrainSet_13-22'!$A$1:$DE$41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M41" i="1" l="1"/>
  <c r="DM39" i="1"/>
  <c r="DM37" i="1"/>
  <c r="DM35" i="1"/>
  <c r="DM33" i="1"/>
  <c r="DM31" i="1"/>
  <c r="DM29" i="1"/>
  <c r="DM27" i="1"/>
  <c r="DM25" i="1"/>
  <c r="DM23" i="1"/>
  <c r="DM21" i="1"/>
  <c r="DM19" i="1"/>
  <c r="DM17" i="1"/>
  <c r="DM15" i="1"/>
  <c r="DM13" i="1"/>
  <c r="DM11" i="1"/>
  <c r="DM9" i="1"/>
  <c r="DM7" i="1"/>
  <c r="DM5" i="1"/>
  <c r="DM3" i="1"/>
  <c r="DK41" i="1"/>
  <c r="DK39" i="1"/>
  <c r="DK37" i="1"/>
  <c r="DK35" i="1"/>
  <c r="DK33" i="1"/>
  <c r="DK31" i="1"/>
  <c r="DK29" i="1"/>
  <c r="DK27" i="1"/>
  <c r="DK25" i="1"/>
  <c r="DK23" i="1"/>
  <c r="DK21" i="1"/>
  <c r="DK19" i="1"/>
  <c r="DK17" i="1"/>
  <c r="DK15" i="1"/>
  <c r="DK13" i="1"/>
  <c r="DK11" i="1"/>
  <c r="DK9" i="1"/>
  <c r="DK7" i="1"/>
  <c r="DK5" i="1"/>
  <c r="DK3" i="1"/>
  <c r="CY3" i="1"/>
  <c r="CY4" i="1"/>
  <c r="CY5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2" i="1"/>
  <c r="DD22" i="1"/>
  <c r="DD23" i="1"/>
</calcChain>
</file>

<file path=xl/sharedStrings.xml><?xml version="1.0" encoding="utf-8"?>
<sst xmlns="http://schemas.openxmlformats.org/spreadsheetml/2006/main" count="356" uniqueCount="172">
  <si>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</si>
  <si>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</si>
  <si>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</si>
  <si>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</si>
  <si>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</si>
  <si>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</si>
  <si>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</si>
  <si>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</si>
  <si>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</si>
  <si>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</si>
  <si>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</si>
  <si>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</si>
  <si>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</si>
  <si>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</si>
  <si>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RelHumAvg_month_1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</si>
  <si>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</si>
  <si>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</si>
  <si>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</si>
  <si>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</si>
  <si>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</si>
  <si>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</si>
  <si>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RelHumAvg_month_2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</si>
  <si>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</si>
  <si>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</si>
  <si>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</si>
  <si>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</si>
  <si>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</si>
  <si>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</si>
  <si>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RelHumAvg_month_3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</si>
  <si>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</si>
  <si>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</si>
  <si>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</si>
  <si>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</si>
  <si>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</si>
  <si>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</si>
  <si>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RelHumAvg_month_4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</si>
  <si>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</si>
  <si>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</si>
  <si>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</si>
  <si>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</si>
  <si>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</si>
  <si>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</si>
  <si>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RelHumAvg_month_5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</si>
  <si>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</si>
  <si>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</si>
  <si>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</si>
  <si>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</si>
  <si>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</si>
  <si>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</si>
  <si>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RelHumAvg_month_6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</si>
  <si>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</si>
  <si>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</si>
  <si>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</si>
  <si>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</si>
  <si>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</si>
  <si>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</si>
  <si>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RelHumAvg_month_7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</si>
  <si>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</si>
  <si>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</si>
  <si>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</si>
  <si>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</si>
  <si>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</si>
  <si>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</si>
  <si>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RelHumAvg_month_8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</si>
  <si>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</si>
  <si>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</si>
  <si>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</si>
  <si>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</si>
  <si>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</si>
  <si>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</si>
  <si>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RelHumAvg_month_9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</si>
  <si>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</si>
  <si>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</si>
  <si>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</si>
  <si>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</si>
  <si>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</si>
  <si>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</si>
  <si>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RelHumAvg_month_10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</si>
  <si>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</si>
  <si>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</si>
  <si>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</si>
  <si>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</si>
  <si>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</si>
  <si>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</si>
  <si>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RelHumAvg_month_11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</si>
  <si>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</si>
  <si>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</si>
  <si>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</si>
  <si>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</si>
  <si>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</si>
  <si>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</si>
  <si>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RelHumAvg_month_12</t>
  </si>
  <si>
    <t>Wheat area sown (ha)</t>
  </si>
  <si>
    <t>Wheat produced (t)</t>
  </si>
  <si>
    <t>Wheat receipts ($)</t>
  </si>
  <si>
    <t>Wheat sold (t)</t>
  </si>
  <si>
    <t>EB</t>
  </si>
  <si>
    <t>NU001</t>
  </si>
  <si>
    <t>BN001</t>
  </si>
  <si>
    <t>EJ001</t>
  </si>
  <si>
    <t>ES</t>
  </si>
  <si>
    <t>CH</t>
  </si>
  <si>
    <t>GW</t>
  </si>
  <si>
    <t>AN001</t>
  </si>
  <si>
    <t>KA</t>
  </si>
  <si>
    <t>KI001</t>
  </si>
  <si>
    <t>ME</t>
  </si>
  <si>
    <t>MZ</t>
  </si>
  <si>
    <t>MO</t>
  </si>
  <si>
    <t>MU001</t>
  </si>
  <si>
    <t>MU</t>
  </si>
  <si>
    <t>NA001</t>
  </si>
  <si>
    <t>NO</t>
  </si>
  <si>
    <t>WA001</t>
  </si>
  <si>
    <t>East Beverley</t>
  </si>
  <si>
    <t>Nannup</t>
  </si>
  <si>
    <t>Brookton</t>
  </si>
  <si>
    <t>Ejanding</t>
  </si>
  <si>
    <t>Esperance Downs</t>
  </si>
  <si>
    <t>Chapman</t>
  </si>
  <si>
    <t>Gingin West</t>
  </si>
  <si>
    <t>Allanooka</t>
  </si>
  <si>
    <t>Katanning</t>
  </si>
  <si>
    <t>Kulin</t>
  </si>
  <si>
    <t>Merredin</t>
  </si>
  <si>
    <t>Moora</t>
  </si>
  <si>
    <t>Morawa</t>
  </si>
  <si>
    <t>Mukinbudin</t>
  </si>
  <si>
    <t>Mullewa</t>
  </si>
  <si>
    <t>Narrogin</t>
  </si>
  <si>
    <t>Northam</t>
  </si>
  <si>
    <t>Wagin</t>
  </si>
  <si>
    <t>Beverley</t>
  </si>
  <si>
    <t>Bridgetown - Boyup Brook</t>
  </si>
  <si>
    <t>Dowerin</t>
  </si>
  <si>
    <t>Esperance</t>
  </si>
  <si>
    <t>Geraldton - North</t>
  </si>
  <si>
    <t>Gingin - Dandaragan</t>
  </si>
  <si>
    <t>Irwin</t>
  </si>
  <si>
    <t>CS</t>
  </si>
  <si>
    <t>CO</t>
  </si>
  <si>
    <t>NE</t>
  </si>
  <si>
    <t>Central and Southern</t>
  </si>
  <si>
    <t>South West Coastal</t>
  </si>
  <si>
    <t>Northern and Eastern</t>
  </si>
  <si>
    <t>Cluster</t>
  </si>
  <si>
    <t>C1</t>
  </si>
  <si>
    <t>C2</t>
  </si>
  <si>
    <t>ProdReal</t>
  </si>
  <si>
    <t>AreaRealHa</t>
  </si>
  <si>
    <t>Business</t>
  </si>
  <si>
    <t>Yield_1</t>
  </si>
  <si>
    <t>Yield_2</t>
  </si>
  <si>
    <t>Gnowangerup</t>
  </si>
  <si>
    <t>GN002</t>
  </si>
  <si>
    <t>Cunderdin</t>
  </si>
  <si>
    <t>TA001</t>
  </si>
  <si>
    <t>Tammin</t>
  </si>
  <si>
    <t>ProdPerBusiness</t>
  </si>
  <si>
    <t>AreaPerBusiness</t>
  </si>
  <si>
    <t>% TargProd</t>
  </si>
  <si>
    <t>% TargArea</t>
  </si>
  <si>
    <t>Wheat AU($/mt)</t>
  </si>
  <si>
    <t>DAP (AU$/mt)</t>
  </si>
  <si>
    <t>TSP (AU$/mt)</t>
  </si>
  <si>
    <t>Urea (AU$/mt)</t>
  </si>
  <si>
    <t>DAP (Qty * ha)</t>
  </si>
  <si>
    <t>Superphosphate (Qty * ha)</t>
  </si>
  <si>
    <t>Urea (Qty * ha)</t>
  </si>
  <si>
    <t>Potassium (Qty * 1ha)</t>
  </si>
  <si>
    <t>Fertiliser$tPerHA</t>
  </si>
  <si>
    <t>Potassium chloride (AU$/mt)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</si>
</sst>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2" fontId="0" fillId="3" borderId="0" xfId="0" applyNumberFormat="1" applyFill="1"/>
    <xf numFmtId="1" fontId="0" fillId="0" borderId="0" xfId="0" applyNumberFormat="1"/>
    <xf numFmtId="1" fontId="0" fillId="4" borderId="0" xfId="0" applyNumberFormat="1" applyFill="1"/>
    <xf numFmtId="0" fontId="0" fillId="5" borderId="0" xfId="0" applyFill="1"/>
    <xf numFmtId="1" fontId="0" fillId="5" borderId="0" xfId="0" applyNumberFormat="1" applyFill="1"/>
    <xf numFmtId="165" fontId="0" fillId="0" borderId="0" xfId="0" applyNumberFormat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41"/>
  <sheetViews>
    <sheetView tabSelected="1" topLeftCell="CY1" workbookViewId="0">
      <selection activeCell="DD1" sqref="DD1:DD1048576"/>
    </sheetView>
  </sheetViews>
  <sheetFormatPr defaultRowHeight="15" x14ac:dyDescent="0.25"/>
  <cols>
    <col min="2" max="2" width="18.85546875" customWidth="1"/>
    <col min="3" max="5" width="9.140625" customWidth="1"/>
    <col min="6" max="6" width="24.42578125" bestFit="1" customWidth="1"/>
    <col min="7" max="8" width="9.140625" customWidth="1"/>
    <col min="9" max="10" width="9.5703125" customWidth="1"/>
    <col min="11" max="11" width="13.7109375" customWidth="1"/>
    <col min="12" max="13" width="9.5703125" customWidth="1"/>
    <col min="14" max="14" width="10.5703125" customWidth="1"/>
    <col min="15" max="17" width="9.5703125" customWidth="1"/>
    <col min="18" max="18" width="13.7109375" customWidth="1"/>
    <col min="19" max="20" width="9.5703125" customWidth="1"/>
    <col min="21" max="21" width="10.5703125" customWidth="1"/>
    <col min="22" max="24" width="9.5703125" customWidth="1"/>
    <col min="25" max="25" width="13.7109375" customWidth="1"/>
    <col min="26" max="27" width="9.5703125" customWidth="1"/>
    <col min="28" max="28" width="10.5703125" customWidth="1"/>
    <col min="29" max="31" width="9.5703125" customWidth="1"/>
    <col min="32" max="32" width="13.7109375" customWidth="1"/>
    <col min="33" max="34" width="9.5703125" customWidth="1"/>
    <col min="35" max="35" width="10.5703125" customWidth="1"/>
    <col min="36" max="38" width="9.5703125" customWidth="1"/>
    <col min="39" max="39" width="13.7109375" customWidth="1"/>
    <col min="40" max="40" width="9.28515625" customWidth="1"/>
    <col min="41" max="45" width="9.5703125" customWidth="1"/>
    <col min="46" max="46" width="13.7109375" customWidth="1"/>
    <col min="47" max="47" width="9.28515625" customWidth="1"/>
    <col min="48" max="52" width="9.5703125" customWidth="1"/>
    <col min="53" max="53" width="13.7109375" customWidth="1"/>
    <col min="54" max="54" width="9.28515625" customWidth="1"/>
    <col min="55" max="59" width="9.5703125" customWidth="1"/>
    <col min="60" max="60" width="13.7109375" customWidth="1"/>
    <col min="61" max="61" width="9.28515625" customWidth="1"/>
    <col min="62" max="66" width="9.5703125" customWidth="1"/>
    <col min="67" max="67" width="13.7109375" customWidth="1"/>
    <col min="68" max="69" width="9.5703125" customWidth="1"/>
    <col min="70" max="70" width="10.5703125" customWidth="1"/>
    <col min="71" max="71" width="9.5703125" customWidth="1"/>
    <col min="72" max="72" width="28.140625" customWidth="1"/>
    <col min="73" max="73" width="9.5703125" customWidth="1"/>
    <col min="74" max="74" width="13.7109375" customWidth="1"/>
    <col min="75" max="76" width="9.5703125" customWidth="1"/>
    <col min="77" max="77" width="10.5703125" customWidth="1"/>
    <col min="78" max="80" width="9.5703125" customWidth="1"/>
    <col min="81" max="81" width="13.7109375" customWidth="1"/>
    <col min="82" max="83" width="9.5703125" customWidth="1"/>
    <col min="84" max="84" width="10.5703125" customWidth="1"/>
    <col min="85" max="87" width="9.5703125" customWidth="1"/>
    <col min="88" max="88" width="13.7109375" customWidth="1"/>
    <col min="89" max="90" width="9.5703125" customWidth="1"/>
    <col min="91" max="91" width="10.5703125" customWidth="1"/>
    <col min="92" max="92" width="9.5703125" customWidth="1"/>
    <col min="94" max="94" width="20.140625" customWidth="1"/>
    <col min="95" max="95" width="17.42578125" customWidth="1"/>
    <col min="96" max="96" width="16.85546875" customWidth="1"/>
    <col min="97" max="97" width="10.5703125" bestFit="1" customWidth="1"/>
    <col min="98" max="98" width="25.28515625" customWidth="1"/>
    <col min="99" max="99" width="14" customWidth="1"/>
    <col min="100" max="100" width="25.42578125" customWidth="1"/>
    <col min="101" max="101" width="19.85546875" customWidth="1"/>
    <col min="102" max="102" width="20" customWidth="1"/>
    <col min="103" max="103" width="16.42578125" customWidth="1"/>
    <col min="104" max="104" width="17.85546875" customWidth="1"/>
    <col min="105" max="105" width="19.28515625" customWidth="1"/>
    <col min="106" max="106" width="19.42578125" customWidth="1"/>
    <col min="107" max="107" width="17.140625" customWidth="1"/>
    <col min="108" max="108" width="11" customWidth="1"/>
    <col min="110" max="110" width="9.7109375" customWidth="1"/>
    <col min="111" max="111" width="18" customWidth="1"/>
    <col min="114" max="114" width="17.5703125" customWidth="1"/>
    <col min="115" max="115" width="19" customWidth="1"/>
    <col min="116" max="116" width="11.28515625" customWidth="1"/>
    <col min="117" max="117" width="21.5703125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P1" s="7" t="s">
        <v>162</v>
      </c>
      <c r="CQ1" s="10" t="s">
        <v>163</v>
      </c>
      <c r="CR1" s="10" t="s">
        <v>164</v>
      </c>
      <c r="CS1" s="10" t="s">
        <v>165</v>
      </c>
      <c r="CT1" s="10" t="s">
        <v>171</v>
      </c>
      <c r="CU1" s="11" t="s">
        <v>166</v>
      </c>
      <c r="CV1" s="11" t="s">
        <v>167</v>
      </c>
      <c r="CW1" s="11" t="s">
        <v>168</v>
      </c>
      <c r="CX1" s="11" t="s">
        <v>169</v>
      </c>
      <c r="CY1" s="7" t="s">
        <v>170</v>
      </c>
      <c r="CZ1" s="3" t="s">
        <v>93</v>
      </c>
      <c r="DA1" s="3" t="s">
        <v>92</v>
      </c>
      <c r="DB1" s="3" t="s">
        <v>94</v>
      </c>
      <c r="DC1" s="3" t="s">
        <v>95</v>
      </c>
      <c r="DD1" s="3" t="s">
        <v>151</v>
      </c>
      <c r="DE1" s="3" t="s">
        <v>145</v>
      </c>
      <c r="DF1" s="3" t="s">
        <v>148</v>
      </c>
      <c r="DG1" s="3" t="s">
        <v>149</v>
      </c>
      <c r="DH1" s="3" t="s">
        <v>150</v>
      </c>
      <c r="DI1" s="3" t="s">
        <v>152</v>
      </c>
      <c r="DJ1" s="3" t="s">
        <v>160</v>
      </c>
      <c r="DK1" s="3" t="s">
        <v>158</v>
      </c>
      <c r="DL1" s="3" t="s">
        <v>161</v>
      </c>
      <c r="DM1" s="3" t="s">
        <v>159</v>
      </c>
    </row>
    <row r="2" spans="1:117" x14ac:dyDescent="0.25">
      <c r="A2" t="s">
        <v>96</v>
      </c>
      <c r="B2" t="s">
        <v>114</v>
      </c>
      <c r="C2">
        <v>117.173785</v>
      </c>
      <c r="D2">
        <v>-32.142505</v>
      </c>
      <c r="E2">
        <v>2021</v>
      </c>
      <c r="F2" t="s">
        <v>132</v>
      </c>
      <c r="G2" t="s">
        <v>139</v>
      </c>
      <c r="H2" t="s">
        <v>142</v>
      </c>
      <c r="I2">
        <v>24.4</v>
      </c>
      <c r="J2">
        <v>0</v>
      </c>
      <c r="K2">
        <v>968793.7</v>
      </c>
      <c r="L2">
        <v>16.66</v>
      </c>
      <c r="M2">
        <v>33</v>
      </c>
      <c r="N2">
        <v>352.6</v>
      </c>
      <c r="O2">
        <v>38.5</v>
      </c>
      <c r="P2">
        <v>22.7</v>
      </c>
      <c r="Q2">
        <v>20.8</v>
      </c>
      <c r="R2">
        <v>732091.4</v>
      </c>
      <c r="S2">
        <v>13.29</v>
      </c>
      <c r="T2">
        <v>28.9</v>
      </c>
      <c r="U2">
        <v>245.1</v>
      </c>
      <c r="V2">
        <v>48.7</v>
      </c>
      <c r="W2">
        <v>22.1</v>
      </c>
      <c r="X2">
        <v>75.599999999999994</v>
      </c>
      <c r="Y2">
        <v>624097.19999999995</v>
      </c>
      <c r="Z2">
        <v>7.88</v>
      </c>
      <c r="AA2">
        <v>25.3</v>
      </c>
      <c r="AB2">
        <v>193.4</v>
      </c>
      <c r="AC2">
        <v>54.8</v>
      </c>
      <c r="AD2">
        <v>18.600000000000001</v>
      </c>
      <c r="AE2">
        <v>22.6</v>
      </c>
      <c r="AF2">
        <v>452695.7</v>
      </c>
      <c r="AG2">
        <v>6.2</v>
      </c>
      <c r="AH2">
        <v>22.7</v>
      </c>
      <c r="AI2">
        <v>129.5</v>
      </c>
      <c r="AJ2">
        <v>60.6</v>
      </c>
      <c r="AK2">
        <v>14</v>
      </c>
      <c r="AL2">
        <v>133.6</v>
      </c>
      <c r="AM2">
        <v>325846.90000000002</v>
      </c>
      <c r="AN2">
        <v>4.97</v>
      </c>
      <c r="AO2">
        <v>16.100000000000001</v>
      </c>
      <c r="AP2">
        <v>71.3</v>
      </c>
      <c r="AQ2">
        <v>77.900000000000006</v>
      </c>
      <c r="AR2">
        <v>10.199999999999999</v>
      </c>
      <c r="AS2">
        <v>21.8</v>
      </c>
      <c r="AT2">
        <v>292060.7</v>
      </c>
      <c r="AU2">
        <v>5.45</v>
      </c>
      <c r="AV2">
        <v>12.5</v>
      </c>
      <c r="AW2">
        <v>55</v>
      </c>
      <c r="AX2">
        <v>84.9</v>
      </c>
      <c r="AY2">
        <v>11.5</v>
      </c>
      <c r="AZ2">
        <v>174.2</v>
      </c>
      <c r="BA2">
        <v>305594.2</v>
      </c>
      <c r="BB2">
        <v>7.91</v>
      </c>
      <c r="BC2">
        <v>12.5</v>
      </c>
      <c r="BD2">
        <v>52.6</v>
      </c>
      <c r="BE2">
        <v>89.4</v>
      </c>
      <c r="BF2">
        <v>11.2</v>
      </c>
      <c r="BG2">
        <v>39</v>
      </c>
      <c r="BH2">
        <v>427131.6</v>
      </c>
      <c r="BI2">
        <v>5.21</v>
      </c>
      <c r="BJ2">
        <v>13.1</v>
      </c>
      <c r="BK2">
        <v>80.2</v>
      </c>
      <c r="BL2">
        <v>84</v>
      </c>
      <c r="BM2">
        <v>12</v>
      </c>
      <c r="BN2">
        <v>23</v>
      </c>
      <c r="BO2">
        <v>570812</v>
      </c>
      <c r="BP2">
        <v>5.73</v>
      </c>
      <c r="BQ2">
        <v>15.1</v>
      </c>
      <c r="BR2">
        <v>123.3</v>
      </c>
      <c r="BS2">
        <v>75.2</v>
      </c>
      <c r="BT2">
        <v>14.3</v>
      </c>
      <c r="BU2">
        <v>45.2</v>
      </c>
      <c r="BV2">
        <v>712095.7</v>
      </c>
      <c r="BW2">
        <v>7.41</v>
      </c>
      <c r="BX2">
        <v>18.8</v>
      </c>
      <c r="BY2">
        <v>165.3</v>
      </c>
      <c r="BZ2">
        <v>66.2</v>
      </c>
      <c r="CA2">
        <v>19</v>
      </c>
      <c r="CB2">
        <v>8.6</v>
      </c>
      <c r="CC2">
        <v>843958.8</v>
      </c>
      <c r="CD2">
        <v>10.7</v>
      </c>
      <c r="CE2">
        <v>25.5</v>
      </c>
      <c r="CF2">
        <v>251.6</v>
      </c>
      <c r="CG2">
        <v>48.7</v>
      </c>
      <c r="CH2">
        <v>23.9</v>
      </c>
      <c r="CI2">
        <v>0.8</v>
      </c>
      <c r="CJ2">
        <v>997741.4</v>
      </c>
      <c r="CK2">
        <v>12.19</v>
      </c>
      <c r="CL2">
        <v>31.8</v>
      </c>
      <c r="CM2">
        <v>327.2</v>
      </c>
      <c r="CN2">
        <v>41.4</v>
      </c>
      <c r="CP2" s="2">
        <v>201.19636589166666</v>
      </c>
      <c r="CQ2" s="2">
        <v>333.51709289829085</v>
      </c>
      <c r="CR2" s="2">
        <v>284.27702022868755</v>
      </c>
      <c r="CS2" s="2">
        <v>216.31792831941917</v>
      </c>
      <c r="CT2" s="2">
        <v>220.93775683681835</v>
      </c>
      <c r="CU2" s="9">
        <v>0.06</v>
      </c>
      <c r="CV2" s="9">
        <v>0.14000000000000001</v>
      </c>
      <c r="CW2" s="9">
        <v>7.0000000000000007E-2</v>
      </c>
      <c r="CX2" s="9">
        <v>0.04</v>
      </c>
      <c r="CY2" s="2">
        <f t="shared" ref="CY2" si="0">+CQ2*CU2+CR2*CV2+CS2*CW2+CT2*CX2</f>
        <v>83.789573661745791</v>
      </c>
      <c r="CZ2">
        <v>1906</v>
      </c>
      <c r="DA2">
        <v>791</v>
      </c>
      <c r="DB2">
        <v>672130</v>
      </c>
      <c r="DC2">
        <v>1780</v>
      </c>
      <c r="DE2" t="s">
        <v>146</v>
      </c>
      <c r="DF2">
        <v>118938</v>
      </c>
      <c r="DG2">
        <v>48670</v>
      </c>
      <c r="DH2">
        <v>77</v>
      </c>
      <c r="DI2" s="4">
        <v>2.4437641257448122</v>
      </c>
      <c r="DJ2" s="4">
        <v>0.81041413989997413</v>
      </c>
      <c r="DK2" s="6">
        <v>1544.6493506493507</v>
      </c>
      <c r="DL2" s="4">
        <v>0.7990871328418736</v>
      </c>
      <c r="DM2" s="6">
        <v>632.07792207792204</v>
      </c>
    </row>
    <row r="3" spans="1:117" x14ac:dyDescent="0.25">
      <c r="A3" t="s">
        <v>96</v>
      </c>
      <c r="B3" t="s">
        <v>114</v>
      </c>
      <c r="C3">
        <v>117.173785</v>
      </c>
      <c r="D3">
        <v>-32.142505</v>
      </c>
      <c r="E3">
        <v>2022</v>
      </c>
      <c r="F3" t="s">
        <v>132</v>
      </c>
      <c r="G3" t="s">
        <v>139</v>
      </c>
      <c r="H3" t="s">
        <v>142</v>
      </c>
      <c r="I3">
        <v>25.5</v>
      </c>
      <c r="J3">
        <v>2.6</v>
      </c>
      <c r="K3">
        <v>1009244.8</v>
      </c>
      <c r="L3">
        <v>12.62</v>
      </c>
      <c r="M3">
        <v>34.9</v>
      </c>
      <c r="N3">
        <v>346.5</v>
      </c>
      <c r="O3">
        <v>39.4</v>
      </c>
      <c r="P3">
        <v>25.5</v>
      </c>
      <c r="Q3">
        <v>0</v>
      </c>
      <c r="R3">
        <v>816760.8</v>
      </c>
      <c r="S3">
        <v>13.53</v>
      </c>
      <c r="T3">
        <v>33</v>
      </c>
      <c r="U3">
        <v>290</v>
      </c>
      <c r="V3">
        <v>41</v>
      </c>
      <c r="W3">
        <v>21.9</v>
      </c>
      <c r="X3">
        <v>4</v>
      </c>
      <c r="Y3">
        <v>596231.19999999995</v>
      </c>
      <c r="Z3">
        <v>11.37</v>
      </c>
      <c r="AA3">
        <v>26.5</v>
      </c>
      <c r="AB3">
        <v>204</v>
      </c>
      <c r="AC3">
        <v>52.6</v>
      </c>
      <c r="AD3">
        <v>17.100000000000001</v>
      </c>
      <c r="AE3">
        <v>12.2</v>
      </c>
      <c r="AF3">
        <v>482576.2</v>
      </c>
      <c r="AG3">
        <v>7.86</v>
      </c>
      <c r="AH3">
        <v>21.7</v>
      </c>
      <c r="AI3">
        <v>127.3</v>
      </c>
      <c r="AJ3">
        <v>64.5</v>
      </c>
      <c r="AK3">
        <v>14</v>
      </c>
      <c r="AL3">
        <v>43.4</v>
      </c>
      <c r="AM3">
        <v>392162</v>
      </c>
      <c r="AN3">
        <v>7.27</v>
      </c>
      <c r="AO3">
        <v>17.399999999999999</v>
      </c>
      <c r="AP3">
        <v>98.7</v>
      </c>
      <c r="AQ3">
        <v>70</v>
      </c>
      <c r="AR3">
        <v>6.1</v>
      </c>
      <c r="AS3">
        <v>69</v>
      </c>
      <c r="AT3">
        <v>298204.09999999998</v>
      </c>
      <c r="AU3">
        <v>7.19</v>
      </c>
      <c r="AV3">
        <v>14.1</v>
      </c>
      <c r="AW3">
        <v>28.8</v>
      </c>
      <c r="AX3">
        <v>84</v>
      </c>
      <c r="AY3">
        <v>10.3</v>
      </c>
      <c r="AZ3">
        <v>64.8</v>
      </c>
      <c r="BA3">
        <v>321310.2</v>
      </c>
      <c r="BB3">
        <v>7.11</v>
      </c>
      <c r="BC3">
        <v>12.4</v>
      </c>
      <c r="BD3">
        <v>61.7</v>
      </c>
      <c r="BE3">
        <v>83.2</v>
      </c>
      <c r="BF3">
        <v>10.199999999999999</v>
      </c>
      <c r="BG3">
        <v>113</v>
      </c>
      <c r="BH3">
        <v>445720.7</v>
      </c>
      <c r="BI3">
        <v>8.48</v>
      </c>
      <c r="BJ3">
        <v>12.4</v>
      </c>
      <c r="BK3">
        <v>80.7</v>
      </c>
      <c r="BL3">
        <v>82.4</v>
      </c>
      <c r="BM3">
        <v>12.5</v>
      </c>
      <c r="BN3">
        <v>50</v>
      </c>
      <c r="BO3">
        <v>558238.6</v>
      </c>
      <c r="BP3">
        <v>7.28</v>
      </c>
      <c r="BQ3">
        <v>14.4</v>
      </c>
      <c r="BR3">
        <v>115.1</v>
      </c>
      <c r="BS3">
        <v>79.7</v>
      </c>
      <c r="BT3">
        <v>13.7</v>
      </c>
      <c r="BU3">
        <v>14.8</v>
      </c>
      <c r="BV3">
        <v>722397.3</v>
      </c>
      <c r="BW3">
        <v>9.6</v>
      </c>
      <c r="BX3">
        <v>17.600000000000001</v>
      </c>
      <c r="BY3">
        <v>173.5</v>
      </c>
      <c r="BZ3">
        <v>69.3</v>
      </c>
      <c r="CA3">
        <v>18</v>
      </c>
      <c r="CB3">
        <v>22.6</v>
      </c>
      <c r="CC3">
        <v>806954.4</v>
      </c>
      <c r="CD3">
        <v>11.02</v>
      </c>
      <c r="CE3">
        <v>22.3</v>
      </c>
      <c r="CF3">
        <v>224.2</v>
      </c>
      <c r="CG3">
        <v>57.4</v>
      </c>
      <c r="CH3">
        <v>22.4</v>
      </c>
      <c r="CI3">
        <v>0.8</v>
      </c>
      <c r="CJ3">
        <v>987840.8</v>
      </c>
      <c r="CK3">
        <v>13.64</v>
      </c>
      <c r="CL3">
        <v>29.9</v>
      </c>
      <c r="CM3">
        <v>313.3</v>
      </c>
      <c r="CN3">
        <v>47.4</v>
      </c>
      <c r="CP3" s="2">
        <v>289.67373585000001</v>
      </c>
      <c r="CQ3" s="2">
        <v>542.29644206599164</v>
      </c>
      <c r="CR3" s="2">
        <v>496.38748434885002</v>
      </c>
      <c r="CS3" s="2">
        <v>518.45774085826167</v>
      </c>
      <c r="CT3" s="2">
        <v>633.48375672743168</v>
      </c>
      <c r="CU3" s="9">
        <v>0.06</v>
      </c>
      <c r="CV3" s="9">
        <v>0.14000000000000001</v>
      </c>
      <c r="CW3" s="9">
        <v>7.0000000000000007E-2</v>
      </c>
      <c r="CX3" s="9">
        <v>0.04</v>
      </c>
      <c r="CY3" s="2">
        <f t="shared" ref="CY3:CY13" si="1">+CQ3*CU3+CR3*CV3+CS3*CW3+CT3*CX3</f>
        <v>163.6634264619741</v>
      </c>
      <c r="CZ3">
        <v>2575</v>
      </c>
      <c r="DA3">
        <v>794</v>
      </c>
      <c r="DB3">
        <v>817540</v>
      </c>
      <c r="DC3">
        <v>2395</v>
      </c>
      <c r="DE3" t="s">
        <v>146</v>
      </c>
      <c r="DK3" s="5">
        <f>+CZ3*DJ2</f>
        <v>2086.8164102424334</v>
      </c>
      <c r="DM3" s="5">
        <f>+DL2*DA3</f>
        <v>634.47518347644768</v>
      </c>
    </row>
    <row r="4" spans="1:117" x14ac:dyDescent="0.25">
      <c r="A4" t="s">
        <v>97</v>
      </c>
      <c r="B4" t="s">
        <v>115</v>
      </c>
      <c r="C4">
        <v>115.794999</v>
      </c>
      <c r="D4">
        <v>-33.937097000000001</v>
      </c>
      <c r="E4">
        <v>2021</v>
      </c>
      <c r="F4" t="s">
        <v>133</v>
      </c>
      <c r="G4" t="s">
        <v>140</v>
      </c>
      <c r="H4" t="s">
        <v>143</v>
      </c>
      <c r="I4">
        <v>22.2</v>
      </c>
      <c r="J4">
        <v>3.2</v>
      </c>
      <c r="K4">
        <v>942551.5</v>
      </c>
      <c r="L4">
        <v>9.86</v>
      </c>
      <c r="N4">
        <v>280</v>
      </c>
      <c r="O4">
        <v>56</v>
      </c>
      <c r="P4">
        <v>19.7</v>
      </c>
      <c r="Q4">
        <v>74</v>
      </c>
      <c r="R4">
        <v>698131.6</v>
      </c>
      <c r="S4">
        <v>9.14</v>
      </c>
      <c r="U4">
        <v>187.5</v>
      </c>
      <c r="V4">
        <v>72.599999999999994</v>
      </c>
      <c r="W4">
        <v>20</v>
      </c>
      <c r="X4">
        <v>25.6</v>
      </c>
      <c r="Y4">
        <v>553269.80000000005</v>
      </c>
      <c r="Z4">
        <v>7.83</v>
      </c>
      <c r="AB4">
        <v>147.9</v>
      </c>
      <c r="AC4">
        <v>75.8</v>
      </c>
      <c r="AD4">
        <v>16.899999999999999</v>
      </c>
      <c r="AE4">
        <v>103.8</v>
      </c>
      <c r="AF4">
        <v>406076.5</v>
      </c>
      <c r="AG4">
        <v>7.03</v>
      </c>
      <c r="AI4">
        <v>89.4</v>
      </c>
      <c r="AJ4">
        <v>84.7</v>
      </c>
      <c r="AK4">
        <v>14</v>
      </c>
      <c r="AL4">
        <v>129.19999999999999</v>
      </c>
      <c r="AM4">
        <v>255729.2</v>
      </c>
      <c r="AN4">
        <v>6.52</v>
      </c>
      <c r="AP4">
        <v>46.2</v>
      </c>
      <c r="AQ4">
        <v>91.2</v>
      </c>
      <c r="AR4">
        <v>11.4</v>
      </c>
      <c r="AS4">
        <v>120.6</v>
      </c>
      <c r="AT4">
        <v>257919.2</v>
      </c>
      <c r="AU4">
        <v>7.08</v>
      </c>
      <c r="AW4">
        <v>41.4</v>
      </c>
      <c r="AX4">
        <v>93.9</v>
      </c>
      <c r="AY4">
        <v>11.3</v>
      </c>
      <c r="AZ4">
        <v>170</v>
      </c>
      <c r="BA4">
        <v>257633.2</v>
      </c>
      <c r="BB4">
        <v>6.94</v>
      </c>
      <c r="BD4">
        <v>37.4</v>
      </c>
      <c r="BE4">
        <v>94.6</v>
      </c>
      <c r="BF4">
        <v>11.4</v>
      </c>
      <c r="BG4">
        <v>120.2</v>
      </c>
      <c r="BH4">
        <v>364885.4</v>
      </c>
      <c r="BI4">
        <v>6.61</v>
      </c>
      <c r="BK4">
        <v>63.2</v>
      </c>
      <c r="BL4">
        <v>91.5</v>
      </c>
      <c r="BM4">
        <v>12</v>
      </c>
      <c r="BN4">
        <v>96.4</v>
      </c>
      <c r="BO4">
        <v>490083.2</v>
      </c>
      <c r="BP4">
        <v>6.82</v>
      </c>
      <c r="BR4">
        <v>94.3</v>
      </c>
      <c r="BS4">
        <v>87.4</v>
      </c>
      <c r="BT4">
        <v>12.5</v>
      </c>
      <c r="BU4">
        <v>115.6</v>
      </c>
      <c r="BV4">
        <v>600326.30000000005</v>
      </c>
      <c r="BW4">
        <v>6.44</v>
      </c>
      <c r="BY4">
        <v>113.7</v>
      </c>
      <c r="BZ4">
        <v>86.1</v>
      </c>
      <c r="CA4">
        <v>16.2</v>
      </c>
      <c r="CB4">
        <v>6.2</v>
      </c>
      <c r="CC4">
        <v>749455.1</v>
      </c>
      <c r="CD4">
        <v>7.87</v>
      </c>
      <c r="CF4">
        <v>176.3</v>
      </c>
      <c r="CG4">
        <v>73.5</v>
      </c>
      <c r="CH4">
        <v>20.399999999999999</v>
      </c>
      <c r="CI4">
        <v>2.6</v>
      </c>
      <c r="CJ4">
        <v>895889.6</v>
      </c>
      <c r="CK4">
        <v>8.74</v>
      </c>
      <c r="CM4">
        <v>247</v>
      </c>
      <c r="CN4">
        <v>63.3</v>
      </c>
      <c r="CP4" s="2">
        <v>201.19636589166666</v>
      </c>
      <c r="CQ4" s="2">
        <v>333.51709289829085</v>
      </c>
      <c r="CR4" s="2">
        <v>284.27702022868755</v>
      </c>
      <c r="CS4" s="2">
        <v>216.31792831941917</v>
      </c>
      <c r="CT4" s="2">
        <v>220.93775683681835</v>
      </c>
      <c r="CU4" s="9">
        <v>0.06</v>
      </c>
      <c r="CV4" s="9">
        <v>0.14000000000000001</v>
      </c>
      <c r="CW4" s="9">
        <v>7.0000000000000007E-2</v>
      </c>
      <c r="CX4" s="9">
        <v>0.04</v>
      </c>
      <c r="CY4" s="2">
        <f t="shared" si="1"/>
        <v>83.789573661745791</v>
      </c>
      <c r="CZ4">
        <v>36</v>
      </c>
      <c r="DA4">
        <v>16</v>
      </c>
      <c r="DB4">
        <v>13860</v>
      </c>
      <c r="DC4">
        <v>37</v>
      </c>
      <c r="DE4" t="s">
        <v>146</v>
      </c>
      <c r="DF4">
        <v>5643</v>
      </c>
      <c r="DG4">
        <v>1801</v>
      </c>
      <c r="DH4">
        <v>9</v>
      </c>
      <c r="DI4" s="4">
        <v>3.1332593003886728</v>
      </c>
      <c r="DJ4" s="4">
        <v>17.416666666666668</v>
      </c>
      <c r="DK4" s="6">
        <v>627</v>
      </c>
      <c r="DL4" s="4">
        <v>12.506944444444445</v>
      </c>
      <c r="DM4" s="6">
        <v>200.11111111111111</v>
      </c>
    </row>
    <row r="5" spans="1:117" x14ac:dyDescent="0.25">
      <c r="A5" t="s">
        <v>97</v>
      </c>
      <c r="B5" t="s">
        <v>115</v>
      </c>
      <c r="C5">
        <v>115.794999</v>
      </c>
      <c r="D5">
        <v>-33.937097000000001</v>
      </c>
      <c r="E5">
        <v>2022</v>
      </c>
      <c r="F5" t="s">
        <v>133</v>
      </c>
      <c r="G5" t="s">
        <v>140</v>
      </c>
      <c r="H5" t="s">
        <v>143</v>
      </c>
      <c r="I5">
        <v>22.6</v>
      </c>
      <c r="J5">
        <v>0</v>
      </c>
      <c r="K5">
        <v>937766.5</v>
      </c>
      <c r="L5">
        <v>9.7200000000000006</v>
      </c>
      <c r="N5">
        <v>272.5</v>
      </c>
      <c r="O5">
        <v>59.1</v>
      </c>
      <c r="P5">
        <v>22.3</v>
      </c>
      <c r="Q5">
        <v>6.4</v>
      </c>
      <c r="R5">
        <v>734334.2</v>
      </c>
      <c r="S5">
        <v>9</v>
      </c>
      <c r="U5">
        <v>216.4</v>
      </c>
      <c r="V5">
        <v>62</v>
      </c>
      <c r="W5">
        <v>20.8</v>
      </c>
      <c r="X5">
        <v>17.600000000000001</v>
      </c>
      <c r="Y5">
        <v>600008.6</v>
      </c>
      <c r="Z5">
        <v>8.16</v>
      </c>
      <c r="AB5">
        <v>166.5</v>
      </c>
      <c r="AC5">
        <v>69.7</v>
      </c>
      <c r="AD5">
        <v>16</v>
      </c>
      <c r="AE5">
        <v>37.799999999999997</v>
      </c>
      <c r="AF5">
        <v>429999.3</v>
      </c>
      <c r="AG5">
        <v>6.58</v>
      </c>
      <c r="AI5">
        <v>103.1</v>
      </c>
      <c r="AJ5">
        <v>80.2</v>
      </c>
      <c r="AK5">
        <v>13.1</v>
      </c>
      <c r="AL5">
        <v>125.8</v>
      </c>
      <c r="AM5">
        <v>333740.2</v>
      </c>
      <c r="AN5">
        <v>6.31</v>
      </c>
      <c r="AP5">
        <v>67.599999999999994</v>
      </c>
      <c r="AQ5">
        <v>86.4</v>
      </c>
      <c r="AR5">
        <v>12.2</v>
      </c>
      <c r="AS5">
        <v>90.6</v>
      </c>
      <c r="AT5">
        <v>237421.9</v>
      </c>
      <c r="AU5">
        <v>6.34</v>
      </c>
      <c r="AW5">
        <v>36.4</v>
      </c>
      <c r="AX5">
        <v>93.9</v>
      </c>
      <c r="AY5">
        <v>10.8</v>
      </c>
      <c r="AZ5">
        <v>159.80000000000001</v>
      </c>
      <c r="BA5">
        <v>291317.5</v>
      </c>
      <c r="BB5">
        <v>7.28</v>
      </c>
      <c r="BD5">
        <v>51.2</v>
      </c>
      <c r="BE5">
        <v>92</v>
      </c>
      <c r="BF5">
        <v>10.6</v>
      </c>
      <c r="BG5">
        <v>156.19999999999999</v>
      </c>
      <c r="BH5">
        <v>351788.6</v>
      </c>
      <c r="BI5">
        <v>6.04</v>
      </c>
      <c r="BK5">
        <v>59.9</v>
      </c>
      <c r="BL5">
        <v>88.8</v>
      </c>
      <c r="BM5">
        <v>12.5</v>
      </c>
      <c r="BN5">
        <v>67.8</v>
      </c>
      <c r="BO5">
        <v>485150.9</v>
      </c>
      <c r="BP5">
        <v>6.72</v>
      </c>
      <c r="BR5">
        <v>90.7</v>
      </c>
      <c r="BS5">
        <v>86</v>
      </c>
      <c r="BT5">
        <v>12.4</v>
      </c>
      <c r="BU5">
        <v>72.599999999999994</v>
      </c>
      <c r="BV5">
        <v>582810.9</v>
      </c>
      <c r="BW5">
        <v>7.06</v>
      </c>
      <c r="BY5">
        <v>118.5</v>
      </c>
      <c r="BZ5">
        <v>84.3</v>
      </c>
      <c r="CA5">
        <v>15.8</v>
      </c>
      <c r="CB5">
        <v>37.200000000000003</v>
      </c>
      <c r="CC5">
        <v>683270.6</v>
      </c>
      <c r="CD5">
        <v>7.45</v>
      </c>
      <c r="CF5">
        <v>151.1</v>
      </c>
      <c r="CG5">
        <v>76.7</v>
      </c>
      <c r="CH5">
        <v>19.3</v>
      </c>
      <c r="CI5">
        <v>2.6</v>
      </c>
      <c r="CJ5">
        <v>880476.1</v>
      </c>
      <c r="CK5">
        <v>9.15</v>
      </c>
      <c r="CM5">
        <v>239.2</v>
      </c>
      <c r="CN5">
        <v>64.8</v>
      </c>
      <c r="CP5" s="2">
        <v>289.67373585000001</v>
      </c>
      <c r="CQ5" s="2">
        <v>542.29644206599164</v>
      </c>
      <c r="CR5" s="2">
        <v>496.38748434885002</v>
      </c>
      <c r="CS5" s="2">
        <v>518.45774085826167</v>
      </c>
      <c r="CT5" s="2">
        <v>633.48375672743168</v>
      </c>
      <c r="CU5" s="9">
        <v>0.06</v>
      </c>
      <c r="CV5" s="9">
        <v>0.14000000000000001</v>
      </c>
      <c r="CW5" s="9">
        <v>7.0000000000000007E-2</v>
      </c>
      <c r="CX5" s="9">
        <v>0.04</v>
      </c>
      <c r="CY5" s="2">
        <f t="shared" si="1"/>
        <v>163.6634264619741</v>
      </c>
      <c r="CZ5">
        <v>124</v>
      </c>
      <c r="DA5">
        <v>30</v>
      </c>
      <c r="DB5">
        <v>42010</v>
      </c>
      <c r="DC5">
        <v>100</v>
      </c>
      <c r="DE5" t="s">
        <v>146</v>
      </c>
      <c r="DK5" s="5">
        <f>+DJ4*CZ5</f>
        <v>2159.666666666667</v>
      </c>
      <c r="DM5" s="5">
        <f>+DL4*DA5</f>
        <v>375.20833333333331</v>
      </c>
    </row>
    <row r="6" spans="1:117" x14ac:dyDescent="0.25">
      <c r="A6" t="s">
        <v>98</v>
      </c>
      <c r="B6" t="s">
        <v>116</v>
      </c>
      <c r="C6">
        <v>117.01348</v>
      </c>
      <c r="D6">
        <v>-32.386800000000001</v>
      </c>
      <c r="E6">
        <v>2021</v>
      </c>
      <c r="F6" t="s">
        <v>116</v>
      </c>
      <c r="G6" t="s">
        <v>139</v>
      </c>
      <c r="H6" t="s">
        <v>142</v>
      </c>
      <c r="I6">
        <v>24.3</v>
      </c>
      <c r="J6">
        <v>1</v>
      </c>
      <c r="K6">
        <v>971507.7</v>
      </c>
      <c r="L6">
        <v>16.12</v>
      </c>
      <c r="N6">
        <v>345.1</v>
      </c>
      <c r="O6">
        <v>41.5</v>
      </c>
      <c r="P6">
        <v>22.6</v>
      </c>
      <c r="Q6">
        <v>12.6</v>
      </c>
      <c r="R6">
        <v>740109.5</v>
      </c>
      <c r="S6">
        <v>14.98</v>
      </c>
      <c r="U6">
        <v>249.1</v>
      </c>
      <c r="V6">
        <v>50.8</v>
      </c>
      <c r="W6">
        <v>22.4</v>
      </c>
      <c r="X6">
        <v>67</v>
      </c>
      <c r="Y6">
        <v>633010.19999999995</v>
      </c>
      <c r="Z6">
        <v>10.64</v>
      </c>
      <c r="AB6">
        <v>203.6</v>
      </c>
      <c r="AC6">
        <v>54.9</v>
      </c>
      <c r="AD6">
        <v>18.8</v>
      </c>
      <c r="AE6">
        <v>29</v>
      </c>
      <c r="AF6">
        <v>479514.6</v>
      </c>
      <c r="AG6">
        <v>8.86</v>
      </c>
      <c r="AI6">
        <v>139.30000000000001</v>
      </c>
      <c r="AJ6">
        <v>62.5</v>
      </c>
      <c r="AK6">
        <v>14.4</v>
      </c>
      <c r="AL6">
        <v>96</v>
      </c>
      <c r="AM6">
        <v>336856.6</v>
      </c>
      <c r="AN6">
        <v>8.06</v>
      </c>
      <c r="AP6">
        <v>79.400000000000006</v>
      </c>
      <c r="AQ6">
        <v>75.8</v>
      </c>
      <c r="AR6">
        <v>10.4</v>
      </c>
      <c r="AS6">
        <v>28.4</v>
      </c>
      <c r="AT6">
        <v>301245.3</v>
      </c>
      <c r="AU6">
        <v>8.26</v>
      </c>
      <c r="AW6">
        <v>57.5</v>
      </c>
      <c r="AX6">
        <v>83.6</v>
      </c>
      <c r="AY6">
        <v>11.1</v>
      </c>
      <c r="AZ6">
        <v>163</v>
      </c>
      <c r="BA6">
        <v>295572.7</v>
      </c>
      <c r="BB6">
        <v>11.47</v>
      </c>
      <c r="BD6">
        <v>53.1</v>
      </c>
      <c r="BE6">
        <v>88.2</v>
      </c>
      <c r="BF6">
        <v>11.3</v>
      </c>
      <c r="BG6">
        <v>43.2</v>
      </c>
      <c r="BH6">
        <v>427492.2</v>
      </c>
      <c r="BI6">
        <v>8.57</v>
      </c>
      <c r="BK6">
        <v>82.8</v>
      </c>
      <c r="BL6">
        <v>81.599999999999994</v>
      </c>
      <c r="BM6">
        <v>12.3</v>
      </c>
      <c r="BN6">
        <v>22</v>
      </c>
      <c r="BO6">
        <v>578194.6</v>
      </c>
      <c r="BP6">
        <v>9.01</v>
      </c>
      <c r="BR6">
        <v>128.80000000000001</v>
      </c>
      <c r="BS6">
        <v>73.8</v>
      </c>
      <c r="BT6">
        <v>13.9</v>
      </c>
      <c r="BU6">
        <v>45.8</v>
      </c>
      <c r="BV6">
        <v>705400</v>
      </c>
      <c r="BW6">
        <v>9.4499999999999993</v>
      </c>
      <c r="BY6">
        <v>162.80000000000001</v>
      </c>
      <c r="BZ6">
        <v>69.3</v>
      </c>
      <c r="CA6">
        <v>18.7</v>
      </c>
      <c r="CB6">
        <v>1.4</v>
      </c>
      <c r="CC6">
        <v>824457.4</v>
      </c>
      <c r="CD6">
        <v>11.92</v>
      </c>
      <c r="CF6">
        <v>243.2</v>
      </c>
      <c r="CG6">
        <v>52.1</v>
      </c>
      <c r="CH6">
        <v>23.5</v>
      </c>
      <c r="CI6">
        <v>0</v>
      </c>
      <c r="CJ6">
        <v>968408.2</v>
      </c>
      <c r="CK6">
        <v>12.78</v>
      </c>
      <c r="CM6">
        <v>316</v>
      </c>
      <c r="CN6">
        <v>44.6</v>
      </c>
      <c r="CP6" s="2">
        <v>201.19636589166666</v>
      </c>
      <c r="CQ6" s="2">
        <v>333.51709289829085</v>
      </c>
      <c r="CR6" s="2">
        <v>284.27702022868755</v>
      </c>
      <c r="CS6" s="2">
        <v>216.31792831941917</v>
      </c>
      <c r="CT6" s="2">
        <v>220.93775683681835</v>
      </c>
      <c r="CU6" s="9">
        <v>0.06</v>
      </c>
      <c r="CV6" s="9">
        <v>0.14000000000000001</v>
      </c>
      <c r="CW6" s="9">
        <v>7.0000000000000007E-2</v>
      </c>
      <c r="CX6" s="9">
        <v>0.04</v>
      </c>
      <c r="CY6" s="2">
        <f t="shared" si="1"/>
        <v>83.789573661745791</v>
      </c>
      <c r="CZ6">
        <v>1906</v>
      </c>
      <c r="DA6">
        <v>791</v>
      </c>
      <c r="DB6">
        <v>672130</v>
      </c>
      <c r="DC6">
        <v>1780</v>
      </c>
      <c r="DE6" t="s">
        <v>146</v>
      </c>
      <c r="DF6">
        <v>181615</v>
      </c>
      <c r="DG6">
        <v>90460</v>
      </c>
      <c r="DH6">
        <v>150</v>
      </c>
      <c r="DI6" s="4">
        <v>2.0076829537917313</v>
      </c>
      <c r="DJ6" s="4">
        <v>0.63523959426372856</v>
      </c>
      <c r="DK6" s="6">
        <v>1210.7666666666667</v>
      </c>
      <c r="DL6" s="4">
        <v>0.76241045090602622</v>
      </c>
      <c r="DM6" s="6">
        <v>603.06666666666672</v>
      </c>
    </row>
    <row r="7" spans="1:117" x14ac:dyDescent="0.25">
      <c r="A7" t="s">
        <v>98</v>
      </c>
      <c r="B7" t="s">
        <v>116</v>
      </c>
      <c r="C7">
        <v>117.01348</v>
      </c>
      <c r="D7">
        <v>-32.386800000000001</v>
      </c>
      <c r="E7">
        <v>2022</v>
      </c>
      <c r="F7" t="s">
        <v>116</v>
      </c>
      <c r="G7" t="s">
        <v>139</v>
      </c>
      <c r="H7" t="s">
        <v>142</v>
      </c>
      <c r="I7">
        <v>25.3</v>
      </c>
      <c r="J7">
        <v>0</v>
      </c>
      <c r="K7">
        <v>983300.4</v>
      </c>
      <c r="L7">
        <v>13.7</v>
      </c>
      <c r="N7">
        <v>337</v>
      </c>
      <c r="O7">
        <v>41.7</v>
      </c>
      <c r="P7">
        <v>25.3</v>
      </c>
      <c r="Q7">
        <v>0.4</v>
      </c>
      <c r="R7">
        <v>793144.2</v>
      </c>
      <c r="S7">
        <v>13.94</v>
      </c>
      <c r="U7">
        <v>278.2</v>
      </c>
      <c r="V7">
        <v>43.5</v>
      </c>
      <c r="W7">
        <v>21.8</v>
      </c>
      <c r="X7">
        <v>18.8</v>
      </c>
      <c r="Y7">
        <v>623767.6</v>
      </c>
      <c r="Z7">
        <v>12.72</v>
      </c>
      <c r="AB7">
        <v>209.4</v>
      </c>
      <c r="AC7">
        <v>57.5</v>
      </c>
      <c r="AD7">
        <v>17.399999999999999</v>
      </c>
      <c r="AE7">
        <v>27.8</v>
      </c>
      <c r="AF7">
        <v>497367.3</v>
      </c>
      <c r="AG7">
        <v>9.6999999999999993</v>
      </c>
      <c r="AI7">
        <v>135</v>
      </c>
      <c r="AJ7">
        <v>65</v>
      </c>
      <c r="AK7">
        <v>14.4</v>
      </c>
      <c r="AL7">
        <v>68.2</v>
      </c>
      <c r="AM7">
        <v>385631.7</v>
      </c>
      <c r="AN7">
        <v>8.8800000000000008</v>
      </c>
      <c r="AP7">
        <v>99.3</v>
      </c>
      <c r="AQ7">
        <v>71</v>
      </c>
      <c r="AR7">
        <v>12.1</v>
      </c>
      <c r="AS7">
        <v>100.4</v>
      </c>
      <c r="AT7">
        <v>275479.59999999998</v>
      </c>
      <c r="AU7">
        <v>8.6199999999999992</v>
      </c>
      <c r="AW7">
        <v>54.3</v>
      </c>
      <c r="AX7">
        <v>83.4</v>
      </c>
      <c r="AY7">
        <v>10.6</v>
      </c>
      <c r="AZ7">
        <v>62.8</v>
      </c>
      <c r="BA7">
        <v>307422.3</v>
      </c>
      <c r="BB7">
        <v>7.59</v>
      </c>
      <c r="BD7">
        <v>56.4</v>
      </c>
      <c r="BE7">
        <v>83.3</v>
      </c>
      <c r="BF7">
        <v>10.5</v>
      </c>
      <c r="BG7">
        <v>109.4</v>
      </c>
      <c r="BH7">
        <v>442945.9</v>
      </c>
      <c r="BI7">
        <v>9.02</v>
      </c>
      <c r="BK7">
        <v>80.3</v>
      </c>
      <c r="BL7">
        <v>82.2</v>
      </c>
      <c r="BM7">
        <v>12.5</v>
      </c>
      <c r="BN7">
        <v>36.200000000000003</v>
      </c>
      <c r="BO7">
        <v>537227.69999999995</v>
      </c>
      <c r="BP7">
        <v>3.8</v>
      </c>
      <c r="BR7">
        <v>70.7</v>
      </c>
      <c r="BS7">
        <v>77.7</v>
      </c>
      <c r="BT7">
        <v>13.3</v>
      </c>
      <c r="BU7">
        <v>33.4</v>
      </c>
      <c r="BV7">
        <v>713238.8</v>
      </c>
      <c r="BW7">
        <v>8.7200000000000006</v>
      </c>
      <c r="BY7">
        <v>167</v>
      </c>
      <c r="BZ7">
        <v>68.2</v>
      </c>
      <c r="CA7">
        <v>17.5</v>
      </c>
      <c r="CB7">
        <v>10</v>
      </c>
      <c r="CC7">
        <v>782599.1</v>
      </c>
      <c r="CD7">
        <v>9.9700000000000006</v>
      </c>
      <c r="CF7">
        <v>215.7</v>
      </c>
      <c r="CG7">
        <v>56.2</v>
      </c>
      <c r="CH7">
        <v>21.7</v>
      </c>
      <c r="CI7">
        <v>1.8</v>
      </c>
      <c r="CJ7">
        <v>980554.2</v>
      </c>
      <c r="CK7">
        <v>11.91</v>
      </c>
      <c r="CM7">
        <v>305.5</v>
      </c>
      <c r="CN7">
        <v>46.6</v>
      </c>
      <c r="CP7" s="2">
        <v>289.67373585000001</v>
      </c>
      <c r="CQ7" s="2">
        <v>542.29644206599164</v>
      </c>
      <c r="CR7" s="2">
        <v>496.38748434885002</v>
      </c>
      <c r="CS7" s="2">
        <v>518.45774085826167</v>
      </c>
      <c r="CT7" s="2">
        <v>633.48375672743168</v>
      </c>
      <c r="CU7" s="9">
        <v>0.06</v>
      </c>
      <c r="CV7" s="9">
        <v>0.14000000000000001</v>
      </c>
      <c r="CW7" s="9">
        <v>7.0000000000000007E-2</v>
      </c>
      <c r="CX7" s="9">
        <v>0.04</v>
      </c>
      <c r="CY7" s="2">
        <f t="shared" si="1"/>
        <v>163.6634264619741</v>
      </c>
      <c r="CZ7">
        <v>2575</v>
      </c>
      <c r="DA7">
        <v>794</v>
      </c>
      <c r="DB7">
        <v>817540</v>
      </c>
      <c r="DC7">
        <v>2395</v>
      </c>
      <c r="DE7" t="s">
        <v>146</v>
      </c>
      <c r="DK7" s="5">
        <f>+DJ6*CZ7</f>
        <v>1635.741955229101</v>
      </c>
      <c r="DM7" s="5">
        <f>+DL6*DA7</f>
        <v>605.35389801938481</v>
      </c>
    </row>
    <row r="8" spans="1:117" x14ac:dyDescent="0.25">
      <c r="A8" t="s">
        <v>99</v>
      </c>
      <c r="B8" t="s">
        <v>117</v>
      </c>
      <c r="C8">
        <v>117.1358</v>
      </c>
      <c r="D8">
        <v>-30.993200000000002</v>
      </c>
      <c r="E8">
        <v>2021</v>
      </c>
      <c r="F8" t="s">
        <v>134</v>
      </c>
      <c r="G8" t="s">
        <v>139</v>
      </c>
      <c r="H8" t="s">
        <v>142</v>
      </c>
      <c r="I8">
        <v>25.4</v>
      </c>
      <c r="J8">
        <v>0.6</v>
      </c>
      <c r="K8">
        <v>938673.3</v>
      </c>
      <c r="L8">
        <v>18.23</v>
      </c>
      <c r="N8">
        <v>368.4</v>
      </c>
      <c r="O8">
        <v>34.9</v>
      </c>
      <c r="P8">
        <v>23.5</v>
      </c>
      <c r="Q8">
        <v>40.6</v>
      </c>
      <c r="R8">
        <v>730443.5</v>
      </c>
      <c r="S8">
        <v>15.97</v>
      </c>
      <c r="U8">
        <v>262.2</v>
      </c>
      <c r="V8">
        <v>45.2</v>
      </c>
      <c r="W8">
        <v>23.3</v>
      </c>
      <c r="X8">
        <v>73</v>
      </c>
      <c r="Y8">
        <v>686783.5</v>
      </c>
      <c r="Z8">
        <v>12.53</v>
      </c>
      <c r="AB8">
        <v>238.8</v>
      </c>
      <c r="AC8">
        <v>48.3</v>
      </c>
      <c r="AD8">
        <v>20</v>
      </c>
      <c r="AE8">
        <v>26</v>
      </c>
      <c r="AF8">
        <v>511319.9</v>
      </c>
      <c r="AG8">
        <v>11.22</v>
      </c>
      <c r="AI8">
        <v>178.3</v>
      </c>
      <c r="AJ8">
        <v>51.8</v>
      </c>
      <c r="AK8">
        <v>15.3</v>
      </c>
      <c r="AL8">
        <v>44</v>
      </c>
      <c r="AM8">
        <v>375787.6</v>
      </c>
      <c r="AN8">
        <v>11.54</v>
      </c>
      <c r="AP8">
        <v>111.8</v>
      </c>
      <c r="AQ8">
        <v>67.5</v>
      </c>
      <c r="AR8">
        <v>10.7</v>
      </c>
      <c r="AS8">
        <v>19.600000000000001</v>
      </c>
      <c r="AT8">
        <v>309960.09999999998</v>
      </c>
      <c r="AU8">
        <v>10.28</v>
      </c>
      <c r="AW8">
        <v>68.599999999999994</v>
      </c>
      <c r="AX8">
        <v>79.5</v>
      </c>
      <c r="AY8">
        <v>11.5</v>
      </c>
      <c r="AZ8">
        <v>72.400000000000006</v>
      </c>
      <c r="BA8">
        <v>326819.20000000001</v>
      </c>
      <c r="BB8">
        <v>14.85</v>
      </c>
      <c r="BD8">
        <v>66</v>
      </c>
      <c r="BE8">
        <v>86.5</v>
      </c>
      <c r="BF8">
        <v>11.3</v>
      </c>
      <c r="BG8">
        <v>25.8</v>
      </c>
      <c r="BH8">
        <v>461897.3</v>
      </c>
      <c r="BI8">
        <v>10.99</v>
      </c>
      <c r="BK8">
        <v>98.5</v>
      </c>
      <c r="BL8">
        <v>77.3</v>
      </c>
      <c r="BM8">
        <v>13.5</v>
      </c>
      <c r="BN8">
        <v>11.2</v>
      </c>
      <c r="BO8">
        <v>614736</v>
      </c>
      <c r="BP8">
        <v>10.84</v>
      </c>
      <c r="BR8">
        <v>162.9</v>
      </c>
      <c r="BS8">
        <v>61.2</v>
      </c>
      <c r="BT8">
        <v>15</v>
      </c>
      <c r="BU8">
        <v>48</v>
      </c>
      <c r="BV8">
        <v>735364.6</v>
      </c>
      <c r="BW8">
        <v>11.62</v>
      </c>
      <c r="BY8">
        <v>193.2</v>
      </c>
      <c r="BZ8">
        <v>61.5</v>
      </c>
      <c r="CA8">
        <v>20.100000000000001</v>
      </c>
      <c r="CB8">
        <v>7.2</v>
      </c>
      <c r="CC8">
        <v>879074.1</v>
      </c>
      <c r="CD8">
        <v>13.39</v>
      </c>
      <c r="CF8">
        <v>283</v>
      </c>
      <c r="CG8">
        <v>45</v>
      </c>
      <c r="CH8">
        <v>25.2</v>
      </c>
      <c r="CI8">
        <v>2.4</v>
      </c>
      <c r="CJ8">
        <v>1003815.3</v>
      </c>
      <c r="CK8">
        <v>15.51</v>
      </c>
      <c r="CM8">
        <v>365</v>
      </c>
      <c r="CN8">
        <v>36.200000000000003</v>
      </c>
      <c r="CP8" s="2">
        <v>201.19636589166666</v>
      </c>
      <c r="CQ8" s="2">
        <v>333.51709289829085</v>
      </c>
      <c r="CR8" s="2">
        <v>284.27702022868755</v>
      </c>
      <c r="CS8" s="2">
        <v>216.31792831941917</v>
      </c>
      <c r="CT8" s="2">
        <v>220.93775683681835</v>
      </c>
      <c r="CU8" s="9">
        <v>0.06</v>
      </c>
      <c r="CV8" s="9">
        <v>0.14000000000000001</v>
      </c>
      <c r="CW8" s="9">
        <v>7.0000000000000007E-2</v>
      </c>
      <c r="CX8" s="9">
        <v>0.04</v>
      </c>
      <c r="CY8" s="2">
        <f t="shared" si="1"/>
        <v>83.789573661745791</v>
      </c>
      <c r="CZ8">
        <v>1906</v>
      </c>
      <c r="DA8">
        <v>791</v>
      </c>
      <c r="DB8">
        <v>672130</v>
      </c>
      <c r="DC8">
        <v>1780</v>
      </c>
      <c r="DE8" t="s">
        <v>147</v>
      </c>
      <c r="DF8">
        <v>802369</v>
      </c>
      <c r="DG8">
        <v>400155</v>
      </c>
      <c r="DH8">
        <v>243</v>
      </c>
      <c r="DI8" s="4">
        <v>2.0051455061163801</v>
      </c>
      <c r="DJ8" s="4">
        <v>1.7323872199119956</v>
      </c>
      <c r="DK8" s="6">
        <v>3301.9300411522636</v>
      </c>
      <c r="DL8" s="4">
        <v>2.0818310936305036</v>
      </c>
      <c r="DM8" s="6">
        <v>1646.7283950617284</v>
      </c>
    </row>
    <row r="9" spans="1:117" x14ac:dyDescent="0.25">
      <c r="A9" t="s">
        <v>99</v>
      </c>
      <c r="B9" t="s">
        <v>117</v>
      </c>
      <c r="C9">
        <v>117.1358</v>
      </c>
      <c r="D9">
        <v>-30.993200000000002</v>
      </c>
      <c r="E9">
        <v>2022</v>
      </c>
      <c r="F9" t="s">
        <v>134</v>
      </c>
      <c r="G9" t="s">
        <v>139</v>
      </c>
      <c r="H9" t="s">
        <v>142</v>
      </c>
      <c r="I9">
        <v>27</v>
      </c>
      <c r="J9">
        <v>0.8</v>
      </c>
      <c r="K9">
        <v>1018672.1</v>
      </c>
      <c r="L9">
        <v>16.48</v>
      </c>
      <c r="N9">
        <v>388</v>
      </c>
      <c r="O9">
        <v>34.1</v>
      </c>
      <c r="P9">
        <v>26.9</v>
      </c>
      <c r="Q9">
        <v>11.2</v>
      </c>
      <c r="R9">
        <v>801117</v>
      </c>
      <c r="S9">
        <v>15.76</v>
      </c>
      <c r="U9">
        <v>314.39999999999998</v>
      </c>
      <c r="V9">
        <v>37</v>
      </c>
      <c r="W9">
        <v>22.8</v>
      </c>
      <c r="X9">
        <v>40.6</v>
      </c>
      <c r="Y9">
        <v>490855.2</v>
      </c>
      <c r="Z9">
        <v>16.2</v>
      </c>
      <c r="AB9">
        <v>204.1</v>
      </c>
      <c r="AC9">
        <v>51.8</v>
      </c>
      <c r="AD9">
        <v>17.8</v>
      </c>
      <c r="AE9">
        <v>18</v>
      </c>
      <c r="AF9">
        <v>491087.5</v>
      </c>
      <c r="AG9">
        <v>12.68</v>
      </c>
      <c r="AI9">
        <v>151.80000000000001</v>
      </c>
      <c r="AJ9">
        <v>62.1</v>
      </c>
      <c r="AK9">
        <v>14.8</v>
      </c>
      <c r="AL9">
        <v>39.4</v>
      </c>
      <c r="AM9">
        <v>404414.6</v>
      </c>
      <c r="AN9">
        <v>11.86</v>
      </c>
      <c r="AP9">
        <v>115.8</v>
      </c>
      <c r="AQ9">
        <v>66.8</v>
      </c>
      <c r="AR9">
        <v>12.2</v>
      </c>
      <c r="AS9">
        <v>38.6</v>
      </c>
      <c r="AT9">
        <v>334330.40000000002</v>
      </c>
      <c r="AU9">
        <v>12.07</v>
      </c>
      <c r="AW9">
        <v>76.599999999999994</v>
      </c>
      <c r="AX9">
        <v>79.099999999999994</v>
      </c>
      <c r="AY9">
        <v>11.2</v>
      </c>
      <c r="AZ9">
        <v>54.2</v>
      </c>
      <c r="BA9">
        <v>373872.6</v>
      </c>
      <c r="BB9">
        <v>11.39</v>
      </c>
      <c r="BD9">
        <v>88.9</v>
      </c>
      <c r="BE9">
        <v>76.599999999999994</v>
      </c>
      <c r="BF9">
        <v>10.4</v>
      </c>
      <c r="BG9">
        <v>96.4</v>
      </c>
      <c r="BH9">
        <v>456814</v>
      </c>
      <c r="BI9">
        <v>12.27</v>
      </c>
      <c r="BK9">
        <v>89.4</v>
      </c>
      <c r="BL9">
        <v>79.8</v>
      </c>
      <c r="BM9">
        <v>12.8</v>
      </c>
      <c r="BN9">
        <v>24.2</v>
      </c>
      <c r="BO9">
        <v>560510.4</v>
      </c>
      <c r="BP9">
        <v>9.6300000000000008</v>
      </c>
      <c r="BR9">
        <v>127.4</v>
      </c>
      <c r="BS9">
        <v>73.2</v>
      </c>
      <c r="BT9">
        <v>15</v>
      </c>
      <c r="BU9">
        <v>7.6</v>
      </c>
      <c r="BV9">
        <v>762967.3</v>
      </c>
      <c r="BW9">
        <v>11.02</v>
      </c>
      <c r="BY9">
        <v>206.5</v>
      </c>
      <c r="BZ9">
        <v>58.2</v>
      </c>
      <c r="CA9">
        <v>19</v>
      </c>
      <c r="CB9">
        <v>34.200000000000003</v>
      </c>
      <c r="CC9">
        <v>861093.1</v>
      </c>
      <c r="CD9">
        <v>12.54</v>
      </c>
      <c r="CF9">
        <v>262.10000000000002</v>
      </c>
      <c r="CG9">
        <v>49.3</v>
      </c>
      <c r="CH9">
        <v>23.8</v>
      </c>
      <c r="CI9">
        <v>0.6</v>
      </c>
      <c r="CJ9">
        <v>1018198.8</v>
      </c>
      <c r="CK9">
        <v>13.77</v>
      </c>
      <c r="CM9">
        <v>349.9</v>
      </c>
      <c r="CN9">
        <v>37.5</v>
      </c>
      <c r="CP9" s="2">
        <v>289.67373585000001</v>
      </c>
      <c r="CQ9" s="2">
        <v>542.29644206599164</v>
      </c>
      <c r="CR9" s="2">
        <v>496.38748434885002</v>
      </c>
      <c r="CS9" s="2">
        <v>518.45774085826167</v>
      </c>
      <c r="CT9" s="2">
        <v>633.48375672743168</v>
      </c>
      <c r="CU9" s="9">
        <v>0.06</v>
      </c>
      <c r="CV9" s="9">
        <v>0.14000000000000001</v>
      </c>
      <c r="CW9" s="9">
        <v>7.0000000000000007E-2</v>
      </c>
      <c r="CX9" s="9">
        <v>0.04</v>
      </c>
      <c r="CY9" s="2">
        <f t="shared" si="1"/>
        <v>163.6634264619741</v>
      </c>
      <c r="CZ9">
        <v>2575</v>
      </c>
      <c r="DA9">
        <v>794</v>
      </c>
      <c r="DB9">
        <v>817540</v>
      </c>
      <c r="DC9">
        <v>2395</v>
      </c>
      <c r="DE9" t="s">
        <v>147</v>
      </c>
      <c r="DK9" s="5">
        <f>+DJ8*CZ9</f>
        <v>4460.8970912733885</v>
      </c>
      <c r="DM9" s="5">
        <f>+DL8*DA9</f>
        <v>1652.9738883426198</v>
      </c>
    </row>
    <row r="10" spans="1:117" x14ac:dyDescent="0.25">
      <c r="A10" t="s">
        <v>100</v>
      </c>
      <c r="B10" t="s">
        <v>118</v>
      </c>
      <c r="C10">
        <v>121.795591</v>
      </c>
      <c r="D10">
        <v>-33.609175</v>
      </c>
      <c r="E10">
        <v>2021</v>
      </c>
      <c r="F10" t="s">
        <v>135</v>
      </c>
      <c r="G10" t="s">
        <v>139</v>
      </c>
      <c r="H10" t="s">
        <v>142</v>
      </c>
      <c r="I10">
        <v>19.8</v>
      </c>
      <c r="J10">
        <v>3.6</v>
      </c>
      <c r="K10">
        <v>852968.4</v>
      </c>
      <c r="L10">
        <v>12.85</v>
      </c>
      <c r="M10">
        <v>29.3</v>
      </c>
      <c r="N10">
        <v>240.5</v>
      </c>
      <c r="O10">
        <v>60.6</v>
      </c>
      <c r="P10">
        <v>20</v>
      </c>
      <c r="Q10">
        <v>35.6</v>
      </c>
      <c r="R10">
        <v>654322</v>
      </c>
      <c r="S10">
        <v>12.73</v>
      </c>
      <c r="T10">
        <v>26.7</v>
      </c>
      <c r="U10">
        <v>198.9</v>
      </c>
      <c r="V10">
        <v>63.2</v>
      </c>
      <c r="W10">
        <v>20.3</v>
      </c>
      <c r="X10">
        <v>31.8</v>
      </c>
      <c r="Y10">
        <v>573921.9</v>
      </c>
      <c r="Z10">
        <v>11.1</v>
      </c>
      <c r="AA10">
        <v>24</v>
      </c>
      <c r="AB10">
        <v>168.6</v>
      </c>
      <c r="AC10">
        <v>64.8</v>
      </c>
      <c r="AD10">
        <v>17.600000000000001</v>
      </c>
      <c r="AE10">
        <v>37.6</v>
      </c>
      <c r="AF10">
        <v>428627.8</v>
      </c>
      <c r="AG10">
        <v>10.029999999999999</v>
      </c>
      <c r="AH10">
        <v>20.8</v>
      </c>
      <c r="AI10">
        <v>122.5</v>
      </c>
      <c r="AJ10">
        <v>70.900000000000006</v>
      </c>
      <c r="AK10">
        <v>14.4</v>
      </c>
      <c r="AL10">
        <v>90.2</v>
      </c>
      <c r="AM10">
        <v>301572</v>
      </c>
      <c r="AN10">
        <v>10.199999999999999</v>
      </c>
      <c r="AO10">
        <v>14.8</v>
      </c>
      <c r="AP10">
        <v>75.5</v>
      </c>
      <c r="AQ10">
        <v>77</v>
      </c>
      <c r="AR10">
        <v>11.5</v>
      </c>
      <c r="AS10">
        <v>110.2</v>
      </c>
      <c r="AT10">
        <v>278710.2</v>
      </c>
      <c r="AU10">
        <v>9.42</v>
      </c>
      <c r="AV10">
        <v>11.8</v>
      </c>
      <c r="AW10">
        <v>53.9</v>
      </c>
      <c r="AX10">
        <v>80.7</v>
      </c>
      <c r="AY10">
        <v>11.1</v>
      </c>
      <c r="AZ10">
        <v>75.2</v>
      </c>
      <c r="BA10">
        <v>302390.40000000002</v>
      </c>
      <c r="BB10">
        <v>12.65</v>
      </c>
      <c r="BC10">
        <v>11</v>
      </c>
      <c r="BD10">
        <v>63.5</v>
      </c>
      <c r="BE10">
        <v>79.8</v>
      </c>
      <c r="BF10">
        <v>11.7</v>
      </c>
      <c r="BG10">
        <v>72.8</v>
      </c>
      <c r="BH10">
        <v>447085.3</v>
      </c>
      <c r="BI10">
        <v>9.1999999999999993</v>
      </c>
      <c r="BJ10">
        <v>12.5</v>
      </c>
      <c r="BK10">
        <v>96</v>
      </c>
      <c r="BL10">
        <v>75.7</v>
      </c>
      <c r="BM10">
        <v>12.6</v>
      </c>
      <c r="BN10">
        <v>43.6</v>
      </c>
      <c r="BO10">
        <v>524361.4</v>
      </c>
      <c r="BP10">
        <v>9.68</v>
      </c>
      <c r="BQ10">
        <v>14.7</v>
      </c>
      <c r="BR10">
        <v>120</v>
      </c>
      <c r="BS10">
        <v>70.900000000000006</v>
      </c>
      <c r="BT10">
        <v>13.7</v>
      </c>
      <c r="BU10">
        <v>83</v>
      </c>
      <c r="BV10">
        <v>644930.19999999995</v>
      </c>
      <c r="BW10">
        <v>10.130000000000001</v>
      </c>
      <c r="BX10">
        <v>17.3</v>
      </c>
      <c r="BY10">
        <v>151.4</v>
      </c>
      <c r="BZ10">
        <v>71.7</v>
      </c>
      <c r="CA10">
        <v>15.7</v>
      </c>
      <c r="CB10">
        <v>32.6</v>
      </c>
      <c r="CC10">
        <v>718802.6</v>
      </c>
      <c r="CD10">
        <v>10.3</v>
      </c>
      <c r="CE10">
        <v>21.5</v>
      </c>
      <c r="CF10">
        <v>184.1</v>
      </c>
      <c r="CG10">
        <v>66.400000000000006</v>
      </c>
      <c r="CH10">
        <v>18.600000000000001</v>
      </c>
      <c r="CI10">
        <v>1</v>
      </c>
      <c r="CJ10">
        <v>939065.6</v>
      </c>
      <c r="CK10">
        <v>11.79</v>
      </c>
      <c r="CL10">
        <v>29.2</v>
      </c>
      <c r="CM10">
        <v>262.2</v>
      </c>
      <c r="CN10">
        <v>62.2</v>
      </c>
      <c r="CP10" s="2">
        <v>201.19636589166666</v>
      </c>
      <c r="CQ10" s="2">
        <v>333.51709289829085</v>
      </c>
      <c r="CR10" s="2">
        <v>284.27702022868755</v>
      </c>
      <c r="CS10" s="2">
        <v>216.31792831941917</v>
      </c>
      <c r="CT10" s="2">
        <v>220.93775683681835</v>
      </c>
      <c r="CU10" s="9">
        <v>0.06</v>
      </c>
      <c r="CV10" s="9">
        <v>0.14000000000000001</v>
      </c>
      <c r="CW10" s="9">
        <v>7.0000000000000007E-2</v>
      </c>
      <c r="CX10" s="9">
        <v>0.04</v>
      </c>
      <c r="CY10" s="2">
        <f t="shared" si="1"/>
        <v>83.789573661745791</v>
      </c>
      <c r="CZ10">
        <v>1906</v>
      </c>
      <c r="DA10">
        <v>791</v>
      </c>
      <c r="DB10">
        <v>672130</v>
      </c>
      <c r="DC10">
        <v>1780</v>
      </c>
      <c r="DE10" t="s">
        <v>146</v>
      </c>
      <c r="DF10" s="8">
        <v>495560</v>
      </c>
      <c r="DG10">
        <v>205660</v>
      </c>
      <c r="DH10">
        <v>260</v>
      </c>
      <c r="DI10" s="4">
        <v>2.4096080910240203</v>
      </c>
      <c r="DJ10" s="4">
        <v>1</v>
      </c>
      <c r="DK10" s="6">
        <v>1906</v>
      </c>
      <c r="DL10" s="4">
        <v>1</v>
      </c>
      <c r="DM10" s="6">
        <v>791</v>
      </c>
    </row>
    <row r="11" spans="1:117" x14ac:dyDescent="0.25">
      <c r="A11" t="s">
        <v>100</v>
      </c>
      <c r="B11" t="s">
        <v>118</v>
      </c>
      <c r="C11">
        <v>121.795591</v>
      </c>
      <c r="D11">
        <v>-33.609175</v>
      </c>
      <c r="E11">
        <v>2022</v>
      </c>
      <c r="F11" t="s">
        <v>135</v>
      </c>
      <c r="G11" t="s">
        <v>139</v>
      </c>
      <c r="H11" t="s">
        <v>142</v>
      </c>
      <c r="I11">
        <v>20</v>
      </c>
      <c r="J11">
        <v>5.8</v>
      </c>
      <c r="K11">
        <v>897221.4</v>
      </c>
      <c r="L11">
        <v>12.13</v>
      </c>
      <c r="M11">
        <v>31.9</v>
      </c>
      <c r="N11">
        <v>253.9</v>
      </c>
      <c r="O11">
        <v>62.6</v>
      </c>
      <c r="P11">
        <v>21.7</v>
      </c>
      <c r="Q11">
        <v>15.2</v>
      </c>
      <c r="R11">
        <v>752209.7</v>
      </c>
      <c r="S11">
        <v>13.55</v>
      </c>
      <c r="T11">
        <v>29.7</v>
      </c>
      <c r="U11">
        <v>235</v>
      </c>
      <c r="V11">
        <v>56.8</v>
      </c>
      <c r="W11">
        <v>19.399999999999999</v>
      </c>
      <c r="X11">
        <v>16.2</v>
      </c>
      <c r="Y11">
        <v>550920.80000000005</v>
      </c>
      <c r="Z11">
        <v>11.01</v>
      </c>
      <c r="AA11">
        <v>25.5</v>
      </c>
      <c r="AB11">
        <v>160.4</v>
      </c>
      <c r="AC11">
        <v>68.2</v>
      </c>
      <c r="AD11">
        <v>16.5</v>
      </c>
      <c r="AE11">
        <v>53.2</v>
      </c>
      <c r="AF11">
        <v>395281.3</v>
      </c>
      <c r="AG11">
        <v>9.0399999999999991</v>
      </c>
      <c r="AH11">
        <v>18.7</v>
      </c>
      <c r="AI11">
        <v>101.7</v>
      </c>
      <c r="AJ11">
        <v>75.7</v>
      </c>
      <c r="AK11">
        <v>14.5</v>
      </c>
      <c r="AL11">
        <v>40.799999999999997</v>
      </c>
      <c r="AM11">
        <v>355778.9</v>
      </c>
      <c r="AN11">
        <v>8.15</v>
      </c>
      <c r="AO11">
        <v>15.4</v>
      </c>
      <c r="AP11">
        <v>94.1</v>
      </c>
      <c r="AQ11">
        <v>70.099999999999994</v>
      </c>
      <c r="AR11">
        <v>12.1</v>
      </c>
      <c r="AS11">
        <v>47</v>
      </c>
      <c r="AT11">
        <v>260418.3</v>
      </c>
      <c r="AU11">
        <v>8.48</v>
      </c>
      <c r="AV11">
        <v>12.5</v>
      </c>
      <c r="AW11">
        <v>53.1</v>
      </c>
      <c r="AX11">
        <v>79.7</v>
      </c>
      <c r="AY11">
        <v>11.2</v>
      </c>
      <c r="AZ11">
        <v>79.2</v>
      </c>
      <c r="BA11">
        <v>329423.8</v>
      </c>
      <c r="BB11">
        <v>9.9700000000000006</v>
      </c>
      <c r="BC11">
        <v>11.5</v>
      </c>
      <c r="BD11">
        <v>72.400000000000006</v>
      </c>
      <c r="BE11">
        <v>76.900000000000006</v>
      </c>
      <c r="BF11">
        <v>10.8</v>
      </c>
      <c r="BG11">
        <v>99.4</v>
      </c>
      <c r="BH11">
        <v>412673.2</v>
      </c>
      <c r="BI11">
        <v>10.77</v>
      </c>
      <c r="BJ11">
        <v>12.3</v>
      </c>
      <c r="BK11">
        <v>85.2</v>
      </c>
      <c r="BL11">
        <v>78.5</v>
      </c>
      <c r="BM11">
        <v>12.8</v>
      </c>
      <c r="BN11">
        <v>42.2</v>
      </c>
      <c r="BO11">
        <v>504687.2</v>
      </c>
      <c r="BP11">
        <v>10.28</v>
      </c>
      <c r="BQ11">
        <v>15.4</v>
      </c>
      <c r="BR11">
        <v>111.4</v>
      </c>
      <c r="BS11">
        <v>76.2</v>
      </c>
      <c r="BT11">
        <v>13</v>
      </c>
      <c r="BU11">
        <v>117.2</v>
      </c>
      <c r="BV11">
        <v>590168.4</v>
      </c>
      <c r="BW11">
        <v>10.02</v>
      </c>
      <c r="BX11">
        <v>16.600000000000001</v>
      </c>
      <c r="BY11">
        <v>131.1</v>
      </c>
      <c r="BZ11">
        <v>78.2</v>
      </c>
      <c r="CA11">
        <v>15.4</v>
      </c>
      <c r="CB11">
        <v>84</v>
      </c>
      <c r="CC11">
        <v>661637.30000000005</v>
      </c>
      <c r="CD11">
        <v>10.62</v>
      </c>
      <c r="CE11">
        <v>17.8</v>
      </c>
      <c r="CF11">
        <v>157.6</v>
      </c>
      <c r="CG11">
        <v>73.7</v>
      </c>
      <c r="CH11">
        <v>17.600000000000001</v>
      </c>
      <c r="CI11">
        <v>17.8</v>
      </c>
      <c r="CJ11">
        <v>809259</v>
      </c>
      <c r="CK11">
        <v>11.07</v>
      </c>
      <c r="CL11">
        <v>22.5</v>
      </c>
      <c r="CM11">
        <v>204.6</v>
      </c>
      <c r="CN11">
        <v>69.8</v>
      </c>
      <c r="CP11" s="2">
        <v>289.67373585000001</v>
      </c>
      <c r="CQ11" s="2">
        <v>542.29644206599164</v>
      </c>
      <c r="CR11" s="2">
        <v>496.38748434885002</v>
      </c>
      <c r="CS11" s="2">
        <v>518.45774085826167</v>
      </c>
      <c r="CT11" s="2">
        <v>633.48375672743168</v>
      </c>
      <c r="CU11" s="9">
        <v>0.06</v>
      </c>
      <c r="CV11" s="9">
        <v>0.14000000000000001</v>
      </c>
      <c r="CW11" s="9">
        <v>7.0000000000000007E-2</v>
      </c>
      <c r="CX11" s="9">
        <v>0.04</v>
      </c>
      <c r="CY11" s="2">
        <f t="shared" si="1"/>
        <v>163.6634264619741</v>
      </c>
      <c r="CZ11">
        <v>2575</v>
      </c>
      <c r="DA11">
        <v>794</v>
      </c>
      <c r="DB11">
        <v>817540</v>
      </c>
      <c r="DC11">
        <v>2395</v>
      </c>
      <c r="DE11" t="s">
        <v>146</v>
      </c>
      <c r="DK11" s="5">
        <f>+DJ10*CZ11</f>
        <v>2575</v>
      </c>
      <c r="DM11" s="5">
        <f>+DL10*DA11</f>
        <v>794</v>
      </c>
    </row>
    <row r="12" spans="1:117" x14ac:dyDescent="0.25">
      <c r="A12" t="s">
        <v>101</v>
      </c>
      <c r="B12" t="s">
        <v>119</v>
      </c>
      <c r="C12">
        <v>114.776781</v>
      </c>
      <c r="D12">
        <v>-28.457778999999999</v>
      </c>
      <c r="E12">
        <v>2021</v>
      </c>
      <c r="F12" t="s">
        <v>136</v>
      </c>
      <c r="G12" t="s">
        <v>141</v>
      </c>
      <c r="H12" t="s">
        <v>144</v>
      </c>
      <c r="I12">
        <v>27.2</v>
      </c>
      <c r="J12">
        <v>1.4</v>
      </c>
      <c r="K12">
        <v>931263.9</v>
      </c>
      <c r="L12">
        <v>15.34</v>
      </c>
      <c r="M12">
        <v>34.1</v>
      </c>
      <c r="N12">
        <v>336.6</v>
      </c>
      <c r="O12">
        <v>48.7</v>
      </c>
      <c r="P12">
        <v>24.5</v>
      </c>
      <c r="Q12">
        <v>31.4</v>
      </c>
      <c r="R12">
        <v>709922.1</v>
      </c>
      <c r="S12">
        <v>15.38</v>
      </c>
      <c r="T12">
        <v>29.6</v>
      </c>
      <c r="U12">
        <v>247.1</v>
      </c>
      <c r="V12">
        <v>58.3</v>
      </c>
      <c r="W12">
        <v>25</v>
      </c>
      <c r="X12">
        <v>8.1999999999999993</v>
      </c>
      <c r="Y12">
        <v>766163.3</v>
      </c>
      <c r="Z12">
        <v>12.15</v>
      </c>
      <c r="AA12">
        <v>30.7</v>
      </c>
      <c r="AB12">
        <v>260.7</v>
      </c>
      <c r="AC12">
        <v>56.7</v>
      </c>
      <c r="AD12">
        <v>22.5</v>
      </c>
      <c r="AE12">
        <v>78.400000000000006</v>
      </c>
      <c r="AF12">
        <v>372097.8</v>
      </c>
      <c r="AG12">
        <v>9.44</v>
      </c>
      <c r="AH12">
        <v>25.1</v>
      </c>
      <c r="AI12">
        <v>135.80000000000001</v>
      </c>
      <c r="AJ12">
        <v>57.6</v>
      </c>
      <c r="AK12">
        <v>18.100000000000001</v>
      </c>
      <c r="AL12">
        <v>80.599999999999994</v>
      </c>
      <c r="AM12">
        <v>420484.1</v>
      </c>
      <c r="AN12">
        <v>9.43</v>
      </c>
      <c r="AO12">
        <v>19.399999999999999</v>
      </c>
      <c r="AP12">
        <v>126.1</v>
      </c>
      <c r="AQ12">
        <v>66.3</v>
      </c>
      <c r="AR12">
        <v>12.9</v>
      </c>
      <c r="AS12">
        <v>76.8</v>
      </c>
      <c r="AT12">
        <v>390514.6</v>
      </c>
      <c r="AU12">
        <v>8.84</v>
      </c>
      <c r="AV12">
        <v>13.2</v>
      </c>
      <c r="AW12">
        <v>88.6</v>
      </c>
      <c r="AX12">
        <v>78.400000000000006</v>
      </c>
      <c r="AY12">
        <v>14</v>
      </c>
      <c r="AZ12">
        <v>144</v>
      </c>
      <c r="BA12">
        <v>348036.6</v>
      </c>
      <c r="BB12">
        <v>10.01</v>
      </c>
      <c r="BC12">
        <v>14.5</v>
      </c>
      <c r="BD12">
        <v>71</v>
      </c>
      <c r="BE12">
        <v>84.1</v>
      </c>
      <c r="BF12">
        <v>13.1</v>
      </c>
      <c r="BG12">
        <v>33</v>
      </c>
      <c r="BH12">
        <v>539052.69999999995</v>
      </c>
      <c r="BI12">
        <v>6.61</v>
      </c>
      <c r="BJ12">
        <v>15.1</v>
      </c>
      <c r="BK12">
        <v>117.6</v>
      </c>
      <c r="BL12">
        <v>77.8</v>
      </c>
      <c r="BM12">
        <v>14.9</v>
      </c>
      <c r="BN12">
        <v>19.8</v>
      </c>
      <c r="BO12">
        <v>683459.6</v>
      </c>
      <c r="BP12">
        <v>7.87</v>
      </c>
      <c r="BQ12">
        <v>19.7</v>
      </c>
      <c r="BR12">
        <v>174.7</v>
      </c>
      <c r="BS12">
        <v>67.099999999999994</v>
      </c>
      <c r="BT12">
        <v>16.3</v>
      </c>
      <c r="BU12">
        <v>51.6</v>
      </c>
      <c r="BV12">
        <v>794302</v>
      </c>
      <c r="BW12">
        <v>10.86</v>
      </c>
      <c r="BX12">
        <v>21.9</v>
      </c>
      <c r="BY12">
        <v>208.8</v>
      </c>
      <c r="BZ12">
        <v>67.400000000000006</v>
      </c>
      <c r="CA12">
        <v>20.100000000000001</v>
      </c>
      <c r="CB12">
        <v>5.6</v>
      </c>
      <c r="CC12">
        <v>930907.9</v>
      </c>
      <c r="CD12">
        <v>13.18</v>
      </c>
      <c r="CE12">
        <v>28.9</v>
      </c>
      <c r="CF12">
        <v>280.89999999999998</v>
      </c>
      <c r="CG12">
        <v>58.4</v>
      </c>
      <c r="CH12">
        <v>24.5</v>
      </c>
      <c r="CI12">
        <v>0</v>
      </c>
      <c r="CJ12">
        <v>1011706.1</v>
      </c>
      <c r="CK12">
        <v>17.010000000000002</v>
      </c>
      <c r="CL12">
        <v>32.9</v>
      </c>
      <c r="CM12">
        <v>343</v>
      </c>
      <c r="CN12">
        <v>55</v>
      </c>
      <c r="CP12" s="2">
        <v>201.19636589166666</v>
      </c>
      <c r="CQ12" s="2">
        <v>333.51709289829085</v>
      </c>
      <c r="CR12" s="2">
        <v>284.27702022868755</v>
      </c>
      <c r="CS12" s="2">
        <v>216.31792831941917</v>
      </c>
      <c r="CT12" s="2">
        <v>220.93775683681835</v>
      </c>
      <c r="CU12" s="9">
        <v>0.06</v>
      </c>
      <c r="CV12" s="9">
        <v>0.14000000000000001</v>
      </c>
      <c r="CW12" s="9">
        <v>7.0000000000000007E-2</v>
      </c>
      <c r="CX12" s="9">
        <v>0.04</v>
      </c>
      <c r="CY12" s="2">
        <f t="shared" si="1"/>
        <v>83.789573661745791</v>
      </c>
      <c r="CZ12">
        <v>2084</v>
      </c>
      <c r="DA12">
        <v>1442</v>
      </c>
      <c r="DB12">
        <v>630080</v>
      </c>
      <c r="DC12">
        <v>1947</v>
      </c>
      <c r="DE12" t="s">
        <v>147</v>
      </c>
      <c r="DF12">
        <v>5758</v>
      </c>
      <c r="DG12">
        <v>3585</v>
      </c>
      <c r="DH12">
        <v>4</v>
      </c>
      <c r="DI12" s="4">
        <v>1.6061366806136681</v>
      </c>
      <c r="DJ12" s="4">
        <v>0.69073896353166986</v>
      </c>
      <c r="DK12" s="6">
        <v>1439.5</v>
      </c>
      <c r="DL12" s="4">
        <v>0.62153259361997226</v>
      </c>
      <c r="DM12" s="6">
        <v>896.25</v>
      </c>
    </row>
    <row r="13" spans="1:117" x14ac:dyDescent="0.25">
      <c r="A13" t="s">
        <v>101</v>
      </c>
      <c r="B13" t="s">
        <v>119</v>
      </c>
      <c r="C13">
        <v>114.776781</v>
      </c>
      <c r="D13">
        <v>-28.457778999999999</v>
      </c>
      <c r="E13">
        <v>2022</v>
      </c>
      <c r="F13" t="s">
        <v>136</v>
      </c>
      <c r="G13" t="s">
        <v>141</v>
      </c>
      <c r="H13" t="s">
        <v>144</v>
      </c>
      <c r="I13">
        <v>26.7</v>
      </c>
      <c r="J13">
        <v>1</v>
      </c>
      <c r="K13">
        <v>1017879.7</v>
      </c>
      <c r="L13">
        <v>17.84</v>
      </c>
      <c r="M13">
        <v>34</v>
      </c>
      <c r="N13">
        <v>361.4</v>
      </c>
      <c r="O13">
        <v>52.3</v>
      </c>
      <c r="P13">
        <v>27.3</v>
      </c>
      <c r="Q13">
        <v>0</v>
      </c>
      <c r="R13">
        <v>828533.4</v>
      </c>
      <c r="S13">
        <v>14.38</v>
      </c>
      <c r="T13">
        <v>34</v>
      </c>
      <c r="U13">
        <v>302.10000000000002</v>
      </c>
      <c r="V13">
        <v>48.5</v>
      </c>
      <c r="W13">
        <v>24.6</v>
      </c>
      <c r="X13">
        <v>23.4</v>
      </c>
      <c r="Y13">
        <v>702910.6</v>
      </c>
      <c r="Z13">
        <v>12.87</v>
      </c>
      <c r="AA13">
        <v>29.5</v>
      </c>
      <c r="AB13">
        <v>244.3</v>
      </c>
      <c r="AC13">
        <v>57.6</v>
      </c>
      <c r="AD13">
        <v>20.399999999999999</v>
      </c>
      <c r="AE13">
        <v>41</v>
      </c>
      <c r="AF13">
        <v>553677.9</v>
      </c>
      <c r="AG13">
        <v>11.63</v>
      </c>
      <c r="AH13">
        <v>22.7</v>
      </c>
      <c r="AI13">
        <v>168</v>
      </c>
      <c r="AJ13">
        <v>63.7</v>
      </c>
      <c r="AK13">
        <v>17</v>
      </c>
      <c r="AL13">
        <v>27</v>
      </c>
      <c r="AM13">
        <v>455519.1</v>
      </c>
      <c r="AN13">
        <v>9.1999999999999993</v>
      </c>
      <c r="AO13">
        <v>18.8</v>
      </c>
      <c r="AP13">
        <v>129.19999999999999</v>
      </c>
      <c r="AQ13">
        <v>68.3</v>
      </c>
      <c r="AR13">
        <v>15</v>
      </c>
      <c r="AS13">
        <v>43.6</v>
      </c>
      <c r="AT13">
        <v>379059</v>
      </c>
      <c r="AU13">
        <v>9.07</v>
      </c>
      <c r="AV13">
        <v>15.9</v>
      </c>
      <c r="AW13">
        <v>96.1</v>
      </c>
      <c r="AX13">
        <v>74.3</v>
      </c>
      <c r="AY13">
        <v>13.3</v>
      </c>
      <c r="AZ13">
        <v>82</v>
      </c>
      <c r="BA13">
        <v>402892</v>
      </c>
      <c r="BB13">
        <v>6.88</v>
      </c>
      <c r="BC13">
        <v>14.4</v>
      </c>
      <c r="BD13">
        <v>98.2</v>
      </c>
      <c r="BE13">
        <v>73.7</v>
      </c>
      <c r="BF13">
        <v>12.5</v>
      </c>
      <c r="BG13">
        <v>159.19999999999999</v>
      </c>
      <c r="BH13">
        <v>518415</v>
      </c>
      <c r="BI13">
        <v>8.9700000000000006</v>
      </c>
      <c r="BJ13">
        <v>13.9</v>
      </c>
      <c r="BK13">
        <v>109.5</v>
      </c>
      <c r="BL13">
        <v>78.8</v>
      </c>
      <c r="BM13">
        <v>14.5</v>
      </c>
      <c r="BN13">
        <v>65.400000000000006</v>
      </c>
      <c r="BO13">
        <v>608899.5</v>
      </c>
      <c r="BP13">
        <v>7.61</v>
      </c>
      <c r="BQ13">
        <v>16.8</v>
      </c>
      <c r="BR13">
        <v>140.30000000000001</v>
      </c>
      <c r="BS13">
        <v>76.8</v>
      </c>
      <c r="BT13">
        <v>16</v>
      </c>
      <c r="BU13">
        <v>14.2</v>
      </c>
      <c r="BV13">
        <v>818734</v>
      </c>
      <c r="BW13">
        <v>9.27</v>
      </c>
      <c r="BX13">
        <v>21.6</v>
      </c>
      <c r="BY13">
        <v>212.6</v>
      </c>
      <c r="BZ13">
        <v>67.8</v>
      </c>
      <c r="CA13">
        <v>19.5</v>
      </c>
      <c r="CB13">
        <v>9.4</v>
      </c>
      <c r="CC13">
        <v>914822.2</v>
      </c>
      <c r="CD13">
        <v>11.6</v>
      </c>
      <c r="CE13">
        <v>25.2</v>
      </c>
      <c r="CF13">
        <v>267.10000000000002</v>
      </c>
      <c r="CG13">
        <v>58.9</v>
      </c>
      <c r="CH13">
        <v>23.9</v>
      </c>
      <c r="CI13">
        <v>0</v>
      </c>
      <c r="CJ13">
        <v>1009077.1</v>
      </c>
      <c r="CK13">
        <v>14.74</v>
      </c>
      <c r="CL13">
        <v>30.8</v>
      </c>
      <c r="CM13">
        <v>331.7</v>
      </c>
      <c r="CN13">
        <v>52.1</v>
      </c>
      <c r="CP13" s="2">
        <v>289.67373585000001</v>
      </c>
      <c r="CQ13" s="2">
        <v>542.29644206599164</v>
      </c>
      <c r="CR13" s="2">
        <v>496.38748434885002</v>
      </c>
      <c r="CS13" s="2">
        <v>518.45774085826167</v>
      </c>
      <c r="CT13" s="2">
        <v>633.48375672743168</v>
      </c>
      <c r="CU13" s="9">
        <v>0.06</v>
      </c>
      <c r="CV13" s="9">
        <v>0.14000000000000001</v>
      </c>
      <c r="CW13" s="9">
        <v>7.0000000000000007E-2</v>
      </c>
      <c r="CX13" s="9">
        <v>0.04</v>
      </c>
      <c r="CY13" s="2">
        <f t="shared" si="1"/>
        <v>163.6634264619741</v>
      </c>
      <c r="CZ13">
        <v>3283</v>
      </c>
      <c r="DA13">
        <v>1633</v>
      </c>
      <c r="DB13">
        <v>1057730</v>
      </c>
      <c r="DC13">
        <v>3165</v>
      </c>
      <c r="DE13" t="s">
        <v>147</v>
      </c>
      <c r="DK13" s="5">
        <f>+DJ12*CZ13</f>
        <v>2267.6960172744721</v>
      </c>
      <c r="DM13" s="5">
        <f>+DL12*DA13</f>
        <v>1014.9627253814147</v>
      </c>
    </row>
    <row r="14" spans="1:117" x14ac:dyDescent="0.25">
      <c r="A14" t="s">
        <v>102</v>
      </c>
      <c r="B14" t="s">
        <v>120</v>
      </c>
      <c r="C14">
        <v>115.603514</v>
      </c>
      <c r="D14">
        <v>-31.331817000000001</v>
      </c>
      <c r="E14">
        <v>2021</v>
      </c>
      <c r="F14" t="s">
        <v>137</v>
      </c>
      <c r="G14" t="s">
        <v>140</v>
      </c>
      <c r="H14" t="s">
        <v>143</v>
      </c>
      <c r="I14">
        <v>24.9</v>
      </c>
      <c r="J14">
        <v>16.399999999999999</v>
      </c>
      <c r="K14">
        <v>952114.6</v>
      </c>
      <c r="L14">
        <v>16.940000000000001</v>
      </c>
      <c r="M14">
        <v>31.1</v>
      </c>
      <c r="N14">
        <v>332.7</v>
      </c>
      <c r="O14">
        <v>48.2</v>
      </c>
      <c r="P14">
        <v>22.6</v>
      </c>
      <c r="Q14">
        <v>55.6</v>
      </c>
      <c r="R14">
        <v>739754</v>
      </c>
      <c r="S14">
        <v>15.19</v>
      </c>
      <c r="T14">
        <v>27.4</v>
      </c>
      <c r="U14">
        <v>238.1</v>
      </c>
      <c r="V14">
        <v>60.2</v>
      </c>
      <c r="W14">
        <v>22.6</v>
      </c>
      <c r="X14">
        <v>42</v>
      </c>
      <c r="Y14">
        <v>669599</v>
      </c>
      <c r="Z14">
        <v>11.41</v>
      </c>
      <c r="AA14">
        <v>25.9</v>
      </c>
      <c r="AB14">
        <v>207.7</v>
      </c>
      <c r="AC14">
        <v>64.7</v>
      </c>
      <c r="AD14">
        <v>20.2</v>
      </c>
      <c r="AE14">
        <v>37.4</v>
      </c>
      <c r="AF14">
        <v>490510.7</v>
      </c>
      <c r="AG14">
        <v>10.07</v>
      </c>
      <c r="AH14">
        <v>22.5</v>
      </c>
      <c r="AI14">
        <v>143.19999999999999</v>
      </c>
      <c r="AJ14">
        <v>67.2</v>
      </c>
      <c r="AK14">
        <v>16.7</v>
      </c>
      <c r="AL14">
        <v>166</v>
      </c>
      <c r="AM14">
        <v>346044</v>
      </c>
      <c r="AN14">
        <v>9.57</v>
      </c>
      <c r="AO14">
        <v>17.2</v>
      </c>
      <c r="AP14">
        <v>96.8</v>
      </c>
      <c r="AQ14">
        <v>72</v>
      </c>
      <c r="AR14">
        <v>13.1</v>
      </c>
      <c r="AS14">
        <v>159</v>
      </c>
      <c r="AT14">
        <v>315977.40000000002</v>
      </c>
      <c r="AU14">
        <v>9.59</v>
      </c>
      <c r="AV14">
        <v>13.1</v>
      </c>
      <c r="AW14">
        <v>72.900000000000006</v>
      </c>
      <c r="AX14">
        <v>78.599999999999994</v>
      </c>
      <c r="AY14">
        <v>14.2</v>
      </c>
      <c r="AZ14">
        <v>261</v>
      </c>
      <c r="BA14">
        <v>299367.3</v>
      </c>
      <c r="BB14">
        <v>13.25</v>
      </c>
      <c r="BC14">
        <v>13.6</v>
      </c>
      <c r="BD14">
        <v>71.599999999999994</v>
      </c>
      <c r="BE14">
        <v>79.400000000000006</v>
      </c>
      <c r="BF14">
        <v>14.1</v>
      </c>
      <c r="BG14">
        <v>60</v>
      </c>
      <c r="BH14">
        <v>433041</v>
      </c>
      <c r="BI14">
        <v>10.86</v>
      </c>
      <c r="BJ14">
        <v>14.5</v>
      </c>
      <c r="BK14">
        <v>108.2</v>
      </c>
      <c r="BL14">
        <v>72.3</v>
      </c>
      <c r="BM14">
        <v>15</v>
      </c>
      <c r="BN14">
        <v>50.2</v>
      </c>
      <c r="BO14">
        <v>597597.1</v>
      </c>
      <c r="BP14">
        <v>10.98</v>
      </c>
      <c r="BQ14">
        <v>17.399999999999999</v>
      </c>
      <c r="BR14">
        <v>149.30000000000001</v>
      </c>
      <c r="BS14">
        <v>68.900000000000006</v>
      </c>
      <c r="BT14">
        <v>15.5</v>
      </c>
      <c r="BU14">
        <v>80.400000000000006</v>
      </c>
      <c r="BV14">
        <v>703475.4</v>
      </c>
      <c r="BW14">
        <v>12.12</v>
      </c>
      <c r="BX14">
        <v>19</v>
      </c>
      <c r="BY14">
        <v>172.5</v>
      </c>
      <c r="BZ14">
        <v>69.8</v>
      </c>
      <c r="CA14">
        <v>18.899999999999999</v>
      </c>
      <c r="CB14">
        <v>9</v>
      </c>
      <c r="CC14">
        <v>877052.5</v>
      </c>
      <c r="CD14">
        <v>13.17</v>
      </c>
      <c r="CE14">
        <v>24.3</v>
      </c>
      <c r="CF14">
        <v>243.5</v>
      </c>
      <c r="CG14">
        <v>62.8</v>
      </c>
      <c r="CH14">
        <v>23.6</v>
      </c>
      <c r="CI14">
        <v>1.8</v>
      </c>
      <c r="CJ14">
        <v>1000641.2</v>
      </c>
      <c r="CK14">
        <v>14.94</v>
      </c>
      <c r="CL14">
        <v>29.4</v>
      </c>
      <c r="CM14">
        <v>314.3</v>
      </c>
      <c r="CN14">
        <v>55.6</v>
      </c>
      <c r="CP14" s="2">
        <v>201.19636589166666</v>
      </c>
      <c r="CQ14" s="2">
        <v>333.51709289829085</v>
      </c>
      <c r="CR14" s="2">
        <v>284.27702022868755</v>
      </c>
      <c r="CS14" s="2">
        <v>216.31792831941917</v>
      </c>
      <c r="CT14" s="2">
        <v>220.93775683681835</v>
      </c>
      <c r="CU14" s="9">
        <v>0.06</v>
      </c>
      <c r="CV14" s="9">
        <v>0.14000000000000001</v>
      </c>
      <c r="CW14" s="9">
        <v>7.0000000000000007E-2</v>
      </c>
      <c r="CX14" s="9">
        <v>0.04</v>
      </c>
      <c r="CY14" s="2">
        <f t="shared" ref="CY14:CY25" si="2">+CQ14*CU14+CR14*CV14+CS14*CW14+CT14*CX14</f>
        <v>83.789573661745791</v>
      </c>
      <c r="CZ14">
        <v>36</v>
      </c>
      <c r="DA14">
        <v>16</v>
      </c>
      <c r="DB14">
        <v>13860</v>
      </c>
      <c r="DC14">
        <v>37</v>
      </c>
      <c r="DE14" t="s">
        <v>147</v>
      </c>
      <c r="DF14">
        <v>94869</v>
      </c>
      <c r="DG14">
        <v>34861</v>
      </c>
      <c r="DH14">
        <v>50</v>
      </c>
      <c r="DI14" s="4">
        <v>2.7213505062964343</v>
      </c>
      <c r="DJ14" s="4">
        <v>52.705000000000005</v>
      </c>
      <c r="DK14" s="6">
        <v>1897.38</v>
      </c>
      <c r="DL14" s="4">
        <v>43.576250000000002</v>
      </c>
      <c r="DM14" s="6">
        <v>697.22</v>
      </c>
    </row>
    <row r="15" spans="1:117" x14ac:dyDescent="0.25">
      <c r="A15" t="s">
        <v>102</v>
      </c>
      <c r="B15" t="s">
        <v>120</v>
      </c>
      <c r="C15">
        <v>115.603514</v>
      </c>
      <c r="D15">
        <v>-31.331817000000001</v>
      </c>
      <c r="E15">
        <v>2022</v>
      </c>
      <c r="F15" t="s">
        <v>137</v>
      </c>
      <c r="G15" t="s">
        <v>140</v>
      </c>
      <c r="H15" t="s">
        <v>143</v>
      </c>
      <c r="I15">
        <v>24.9</v>
      </c>
      <c r="J15">
        <v>0</v>
      </c>
      <c r="K15">
        <v>1019266.2</v>
      </c>
      <c r="L15">
        <v>15.17</v>
      </c>
      <c r="M15">
        <v>32</v>
      </c>
      <c r="N15">
        <v>328.2</v>
      </c>
      <c r="O15">
        <v>54.8</v>
      </c>
      <c r="P15">
        <v>25.4</v>
      </c>
      <c r="Q15">
        <v>1</v>
      </c>
      <c r="R15">
        <v>815457.4</v>
      </c>
      <c r="S15">
        <v>13.8</v>
      </c>
      <c r="T15">
        <v>32.1</v>
      </c>
      <c r="U15">
        <v>273.5</v>
      </c>
      <c r="V15">
        <v>54.7</v>
      </c>
      <c r="W15">
        <v>23.1</v>
      </c>
      <c r="X15">
        <v>20.2</v>
      </c>
      <c r="Y15">
        <v>636232.9</v>
      </c>
      <c r="Z15">
        <v>12.5</v>
      </c>
      <c r="AA15">
        <v>27.2</v>
      </c>
      <c r="AB15">
        <v>206.8</v>
      </c>
      <c r="AC15">
        <v>61.1</v>
      </c>
      <c r="AD15">
        <v>19.100000000000001</v>
      </c>
      <c r="AE15">
        <v>56.2</v>
      </c>
      <c r="AF15">
        <v>509686</v>
      </c>
      <c r="AG15">
        <v>10.14</v>
      </c>
      <c r="AH15">
        <v>21.5</v>
      </c>
      <c r="AI15">
        <v>146.4</v>
      </c>
      <c r="AJ15">
        <v>66</v>
      </c>
      <c r="AK15">
        <v>15.8</v>
      </c>
      <c r="AL15">
        <v>100.2</v>
      </c>
      <c r="AM15">
        <v>410503.9</v>
      </c>
      <c r="AN15">
        <v>9.4499999999999993</v>
      </c>
      <c r="AO15">
        <v>16.7</v>
      </c>
      <c r="AP15">
        <v>104.9</v>
      </c>
      <c r="AQ15">
        <v>73.599999999999994</v>
      </c>
      <c r="AR15">
        <v>14.2</v>
      </c>
      <c r="AS15">
        <v>89.6</v>
      </c>
      <c r="AT15">
        <v>324690.8</v>
      </c>
      <c r="AU15">
        <v>10.06</v>
      </c>
      <c r="AV15">
        <v>14.1</v>
      </c>
      <c r="AW15">
        <v>74.400000000000006</v>
      </c>
      <c r="AX15">
        <v>79.3</v>
      </c>
      <c r="AY15">
        <v>13.6</v>
      </c>
      <c r="AZ15">
        <v>125.4</v>
      </c>
      <c r="BA15">
        <v>332879.8</v>
      </c>
      <c r="BB15">
        <v>10.14</v>
      </c>
      <c r="BC15">
        <v>13.1</v>
      </c>
      <c r="BD15">
        <v>82.2</v>
      </c>
      <c r="BE15">
        <v>74.900000000000006</v>
      </c>
      <c r="BF15">
        <v>13</v>
      </c>
      <c r="BG15">
        <v>171</v>
      </c>
      <c r="BH15">
        <v>429108.6</v>
      </c>
      <c r="BI15">
        <v>11.8</v>
      </c>
      <c r="BJ15">
        <v>13</v>
      </c>
      <c r="BK15">
        <v>99.5</v>
      </c>
      <c r="BL15">
        <v>74.7</v>
      </c>
      <c r="BM15">
        <v>15</v>
      </c>
      <c r="BN15">
        <v>72.400000000000006</v>
      </c>
      <c r="BO15">
        <v>552370.4</v>
      </c>
      <c r="BP15">
        <v>10.32</v>
      </c>
      <c r="BQ15">
        <v>15.9</v>
      </c>
      <c r="BR15">
        <v>131.1</v>
      </c>
      <c r="BS15">
        <v>74.3</v>
      </c>
      <c r="BT15">
        <v>15.4</v>
      </c>
      <c r="BU15">
        <v>41.2</v>
      </c>
      <c r="BV15">
        <v>751134.7</v>
      </c>
      <c r="BW15">
        <v>11.14</v>
      </c>
      <c r="BX15">
        <v>19.600000000000001</v>
      </c>
      <c r="BY15">
        <v>186</v>
      </c>
      <c r="BZ15">
        <v>69.5</v>
      </c>
      <c r="CA15">
        <v>18.399999999999999</v>
      </c>
      <c r="CB15">
        <v>18.8</v>
      </c>
      <c r="CC15">
        <v>860725.1</v>
      </c>
      <c r="CD15">
        <v>12.61</v>
      </c>
      <c r="CE15">
        <v>23.7</v>
      </c>
      <c r="CF15">
        <v>230.7</v>
      </c>
      <c r="CG15">
        <v>65</v>
      </c>
      <c r="CH15">
        <v>22.2</v>
      </c>
      <c r="CI15">
        <v>5.2</v>
      </c>
      <c r="CJ15">
        <v>984255.4</v>
      </c>
      <c r="CK15">
        <v>14.25</v>
      </c>
      <c r="CL15">
        <v>29.2</v>
      </c>
      <c r="CM15">
        <v>300.89999999999998</v>
      </c>
      <c r="CN15">
        <v>56.6</v>
      </c>
      <c r="CP15" s="2">
        <v>289.67373585000001</v>
      </c>
      <c r="CQ15" s="2">
        <v>542.29644206599164</v>
      </c>
      <c r="CR15" s="2">
        <v>496.38748434885002</v>
      </c>
      <c r="CS15" s="2">
        <v>518.45774085826167</v>
      </c>
      <c r="CT15" s="2">
        <v>633.48375672743168</v>
      </c>
      <c r="CU15" s="9">
        <v>0.06</v>
      </c>
      <c r="CV15" s="9">
        <v>0.14000000000000001</v>
      </c>
      <c r="CW15" s="9">
        <v>7.0000000000000007E-2</v>
      </c>
      <c r="CX15" s="9">
        <v>0.04</v>
      </c>
      <c r="CY15" s="2">
        <f t="shared" si="2"/>
        <v>163.6634264619741</v>
      </c>
      <c r="CZ15">
        <v>124</v>
      </c>
      <c r="DA15">
        <v>30</v>
      </c>
      <c r="DB15">
        <v>42010</v>
      </c>
      <c r="DC15">
        <v>100</v>
      </c>
      <c r="DE15" t="s">
        <v>147</v>
      </c>
      <c r="DK15" s="5">
        <f>+DJ14*CZ15</f>
        <v>6535.420000000001</v>
      </c>
      <c r="DM15" s="5">
        <f>+DL14*DA15</f>
        <v>1307.2875000000001</v>
      </c>
    </row>
    <row r="16" spans="1:117" x14ac:dyDescent="0.25">
      <c r="A16" t="s">
        <v>103</v>
      </c>
      <c r="B16" t="s">
        <v>121</v>
      </c>
      <c r="C16">
        <v>114.99716100000001</v>
      </c>
      <c r="D16">
        <v>-29.063611999999999</v>
      </c>
      <c r="E16">
        <v>2021</v>
      </c>
      <c r="F16" t="s">
        <v>138</v>
      </c>
      <c r="G16" t="s">
        <v>141</v>
      </c>
      <c r="H16" t="s">
        <v>144</v>
      </c>
      <c r="I16">
        <v>26.7</v>
      </c>
      <c r="J16">
        <v>2.2000000000000002</v>
      </c>
      <c r="K16">
        <v>913974</v>
      </c>
      <c r="L16">
        <v>17.5</v>
      </c>
      <c r="N16">
        <v>341</v>
      </c>
      <c r="O16">
        <v>48.5</v>
      </c>
      <c r="P16">
        <v>23.8</v>
      </c>
      <c r="Q16">
        <v>48.4</v>
      </c>
      <c r="R16">
        <v>696788.6</v>
      </c>
      <c r="S16">
        <v>12.37</v>
      </c>
      <c r="U16">
        <v>226.6</v>
      </c>
      <c r="V16">
        <v>59.9</v>
      </c>
      <c r="W16">
        <v>24.3</v>
      </c>
      <c r="X16">
        <v>29.8</v>
      </c>
      <c r="Y16">
        <v>748212.6</v>
      </c>
      <c r="Z16">
        <v>7.39</v>
      </c>
      <c r="AB16">
        <v>230.8</v>
      </c>
      <c r="AC16">
        <v>59.4</v>
      </c>
      <c r="AD16">
        <v>22.1</v>
      </c>
      <c r="AE16">
        <v>38.4</v>
      </c>
      <c r="AF16">
        <v>514340.1</v>
      </c>
      <c r="AG16">
        <v>8.3800000000000008</v>
      </c>
      <c r="AI16">
        <v>167.2</v>
      </c>
      <c r="AJ16">
        <v>56.6</v>
      </c>
      <c r="AK16">
        <v>18.399999999999999</v>
      </c>
      <c r="AL16">
        <v>112</v>
      </c>
      <c r="AM16">
        <v>402796</v>
      </c>
      <c r="AN16">
        <v>2.17</v>
      </c>
      <c r="AP16">
        <v>97.5</v>
      </c>
      <c r="AQ16">
        <v>65.3</v>
      </c>
      <c r="AR16">
        <v>13.9</v>
      </c>
      <c r="AS16">
        <v>88.4</v>
      </c>
      <c r="AT16">
        <v>363527.7</v>
      </c>
      <c r="AU16">
        <v>10.94</v>
      </c>
      <c r="AW16">
        <v>89.1</v>
      </c>
      <c r="AX16">
        <v>73</v>
      </c>
      <c r="AY16">
        <v>14.7</v>
      </c>
      <c r="AZ16">
        <v>166.2</v>
      </c>
      <c r="BA16">
        <v>332777</v>
      </c>
      <c r="BB16">
        <v>12.14</v>
      </c>
      <c r="BD16">
        <v>78</v>
      </c>
      <c r="BE16">
        <v>79</v>
      </c>
      <c r="BF16">
        <v>14.3</v>
      </c>
      <c r="BG16">
        <v>45.2</v>
      </c>
      <c r="BH16">
        <v>502514.2</v>
      </c>
      <c r="BI16">
        <v>9.9700000000000006</v>
      </c>
      <c r="BK16">
        <v>120.5</v>
      </c>
      <c r="BL16">
        <v>72.3</v>
      </c>
      <c r="BM16">
        <v>16.100000000000001</v>
      </c>
      <c r="BN16">
        <v>12.8</v>
      </c>
      <c r="BO16">
        <v>659358.19999999995</v>
      </c>
      <c r="BP16">
        <v>10.56</v>
      </c>
      <c r="BR16">
        <v>178.3</v>
      </c>
      <c r="BS16">
        <v>62.6</v>
      </c>
      <c r="BT16">
        <v>16.399999999999999</v>
      </c>
      <c r="BU16">
        <v>61.6</v>
      </c>
      <c r="BV16">
        <v>754426.7</v>
      </c>
      <c r="BW16">
        <v>11.6</v>
      </c>
      <c r="BY16">
        <v>197</v>
      </c>
      <c r="BZ16">
        <v>67.5</v>
      </c>
      <c r="CA16">
        <v>19.600000000000001</v>
      </c>
      <c r="CB16">
        <v>7</v>
      </c>
      <c r="CC16">
        <v>910439.4</v>
      </c>
      <c r="CD16">
        <v>12.52</v>
      </c>
      <c r="CF16">
        <v>242.4</v>
      </c>
      <c r="CG16">
        <v>53.7</v>
      </c>
      <c r="CH16">
        <v>24</v>
      </c>
      <c r="CI16">
        <v>0</v>
      </c>
      <c r="CJ16">
        <v>989449.5</v>
      </c>
      <c r="CK16">
        <v>14.48</v>
      </c>
      <c r="CM16">
        <v>316.89999999999998</v>
      </c>
      <c r="CN16">
        <v>57.1</v>
      </c>
      <c r="CP16" s="2">
        <v>201.19636589166666</v>
      </c>
      <c r="CQ16" s="2">
        <v>333.51709289829085</v>
      </c>
      <c r="CR16" s="2">
        <v>284.27702022868755</v>
      </c>
      <c r="CS16" s="2">
        <v>216.31792831941917</v>
      </c>
      <c r="CT16" s="2">
        <v>220.93775683681835</v>
      </c>
      <c r="CU16" s="9">
        <v>0.06</v>
      </c>
      <c r="CV16" s="9">
        <v>0.14000000000000001</v>
      </c>
      <c r="CW16" s="9">
        <v>7.0000000000000007E-2</v>
      </c>
      <c r="CX16" s="9">
        <v>0.04</v>
      </c>
      <c r="CY16" s="2">
        <f t="shared" si="2"/>
        <v>83.789573661745791</v>
      </c>
      <c r="CZ16">
        <v>2084</v>
      </c>
      <c r="DA16">
        <v>1442</v>
      </c>
      <c r="DB16">
        <v>630080</v>
      </c>
      <c r="DC16">
        <v>1947</v>
      </c>
      <c r="DE16" t="s">
        <v>147</v>
      </c>
      <c r="DF16">
        <v>60318</v>
      </c>
      <c r="DG16">
        <v>25873</v>
      </c>
      <c r="DH16">
        <v>16</v>
      </c>
      <c r="DI16" s="4">
        <v>2.3313106327059097</v>
      </c>
      <c r="DJ16" s="4">
        <v>1.80896113243762</v>
      </c>
      <c r="DK16" s="6">
        <v>3769.875</v>
      </c>
      <c r="DL16" s="4">
        <v>1.1214025658807212</v>
      </c>
      <c r="DM16" s="6">
        <v>1617.0625</v>
      </c>
    </row>
    <row r="17" spans="1:117" x14ac:dyDescent="0.25">
      <c r="A17" t="s">
        <v>103</v>
      </c>
      <c r="B17" t="s">
        <v>121</v>
      </c>
      <c r="C17">
        <v>114.99716100000001</v>
      </c>
      <c r="D17">
        <v>-29.063611999999999</v>
      </c>
      <c r="E17">
        <v>2022</v>
      </c>
      <c r="F17" t="s">
        <v>138</v>
      </c>
      <c r="G17" t="s">
        <v>141</v>
      </c>
      <c r="H17" t="s">
        <v>144</v>
      </c>
      <c r="I17">
        <v>25.9</v>
      </c>
      <c r="J17">
        <v>0</v>
      </c>
      <c r="K17">
        <v>1002085.6</v>
      </c>
      <c r="L17">
        <v>15.42</v>
      </c>
      <c r="N17">
        <v>335.9</v>
      </c>
      <c r="O17">
        <v>55.9</v>
      </c>
      <c r="P17">
        <v>27</v>
      </c>
      <c r="Q17">
        <v>1</v>
      </c>
      <c r="R17">
        <v>778140.4</v>
      </c>
      <c r="S17">
        <v>14.24</v>
      </c>
      <c r="U17">
        <v>287.2</v>
      </c>
      <c r="V17">
        <v>50.9</v>
      </c>
      <c r="W17">
        <v>24.3</v>
      </c>
      <c r="X17">
        <v>62.4</v>
      </c>
      <c r="Y17">
        <v>540644.19999999995</v>
      </c>
      <c r="Z17">
        <v>13.6</v>
      </c>
      <c r="AB17">
        <v>200</v>
      </c>
      <c r="AC17">
        <v>57.8</v>
      </c>
      <c r="AD17">
        <v>19.8</v>
      </c>
      <c r="AE17">
        <v>37.799999999999997</v>
      </c>
      <c r="AF17">
        <v>521954.9</v>
      </c>
      <c r="AG17">
        <v>11.58</v>
      </c>
      <c r="AI17">
        <v>154</v>
      </c>
      <c r="AJ17">
        <v>65.400000000000006</v>
      </c>
      <c r="AK17">
        <v>16.899999999999999</v>
      </c>
      <c r="AL17">
        <v>44.6</v>
      </c>
      <c r="AM17">
        <v>425120.5</v>
      </c>
      <c r="AN17">
        <v>10.1</v>
      </c>
      <c r="AP17">
        <v>120.8</v>
      </c>
      <c r="AQ17">
        <v>68.7</v>
      </c>
      <c r="AR17">
        <v>15.3</v>
      </c>
      <c r="AS17">
        <v>78.400000000000006</v>
      </c>
      <c r="AT17">
        <v>351218.1</v>
      </c>
      <c r="AU17">
        <v>11.37</v>
      </c>
      <c r="AW17">
        <v>91.6</v>
      </c>
      <c r="AX17">
        <v>73.7</v>
      </c>
      <c r="AY17">
        <v>14.4</v>
      </c>
      <c r="AZ17">
        <v>126.6</v>
      </c>
      <c r="BA17">
        <v>364555.6</v>
      </c>
      <c r="BB17">
        <v>10.91</v>
      </c>
      <c r="BD17">
        <v>98.8</v>
      </c>
      <c r="BE17">
        <v>68.599999999999994</v>
      </c>
      <c r="BF17">
        <v>13.5</v>
      </c>
      <c r="BG17">
        <v>131.4</v>
      </c>
      <c r="BH17">
        <v>476003.4</v>
      </c>
      <c r="BI17">
        <v>13.01</v>
      </c>
      <c r="BK17">
        <v>113.3</v>
      </c>
      <c r="BL17">
        <v>74.3</v>
      </c>
      <c r="BM17">
        <v>15.2</v>
      </c>
      <c r="BN17">
        <v>56</v>
      </c>
      <c r="BO17">
        <v>571812.9</v>
      </c>
      <c r="BP17">
        <v>11.07</v>
      </c>
      <c r="BR17">
        <v>141.80000000000001</v>
      </c>
      <c r="BS17">
        <v>73.900000000000006</v>
      </c>
      <c r="BT17">
        <v>15.7</v>
      </c>
      <c r="BU17">
        <v>21.6</v>
      </c>
      <c r="BV17">
        <v>772059.3</v>
      </c>
      <c r="BW17">
        <v>12.16</v>
      </c>
      <c r="BY17">
        <v>196.8</v>
      </c>
      <c r="BZ17">
        <v>70</v>
      </c>
      <c r="CA17">
        <v>18.8</v>
      </c>
      <c r="CB17">
        <v>18</v>
      </c>
      <c r="CC17">
        <v>878413.4</v>
      </c>
      <c r="CD17">
        <v>13.93</v>
      </c>
      <c r="CF17">
        <v>251.5</v>
      </c>
      <c r="CG17">
        <v>64.099999999999994</v>
      </c>
      <c r="CH17">
        <v>23</v>
      </c>
      <c r="CI17">
        <v>1.2</v>
      </c>
      <c r="CJ17">
        <v>995324.5</v>
      </c>
      <c r="CK17">
        <v>15.38</v>
      </c>
      <c r="CM17">
        <v>318.5</v>
      </c>
      <c r="CN17">
        <v>55.4</v>
      </c>
      <c r="CP17" s="2">
        <v>289.67373585000001</v>
      </c>
      <c r="CQ17" s="2">
        <v>542.29644206599164</v>
      </c>
      <c r="CR17" s="2">
        <v>496.38748434885002</v>
      </c>
      <c r="CS17" s="2">
        <v>518.45774085826167</v>
      </c>
      <c r="CT17" s="2">
        <v>633.48375672743168</v>
      </c>
      <c r="CU17" s="9">
        <v>0.06</v>
      </c>
      <c r="CV17" s="9">
        <v>0.14000000000000001</v>
      </c>
      <c r="CW17" s="9">
        <v>7.0000000000000007E-2</v>
      </c>
      <c r="CX17" s="9">
        <v>0.04</v>
      </c>
      <c r="CY17" s="2">
        <f t="shared" si="2"/>
        <v>163.6634264619741</v>
      </c>
      <c r="CZ17">
        <v>3283</v>
      </c>
      <c r="DA17">
        <v>1633</v>
      </c>
      <c r="DB17">
        <v>1057730</v>
      </c>
      <c r="DC17">
        <v>3165</v>
      </c>
      <c r="DE17" t="s">
        <v>147</v>
      </c>
      <c r="DK17" s="5">
        <f>+DJ16*CZ17</f>
        <v>5938.8193977927067</v>
      </c>
      <c r="DM17" s="5">
        <f>+DL16*DA17</f>
        <v>1831.2503900832178</v>
      </c>
    </row>
    <row r="18" spans="1:117" x14ac:dyDescent="0.25">
      <c r="A18" t="s">
        <v>104</v>
      </c>
      <c r="B18" t="s">
        <v>122</v>
      </c>
      <c r="C18">
        <v>117.611931</v>
      </c>
      <c r="D18">
        <v>-33.683084999999998</v>
      </c>
      <c r="E18">
        <v>2021</v>
      </c>
      <c r="F18" t="s">
        <v>122</v>
      </c>
      <c r="G18" t="s">
        <v>139</v>
      </c>
      <c r="H18" t="s">
        <v>142</v>
      </c>
      <c r="I18">
        <v>21.2</v>
      </c>
      <c r="J18">
        <v>5.8</v>
      </c>
      <c r="K18">
        <v>942776.6</v>
      </c>
      <c r="L18">
        <v>15.62</v>
      </c>
      <c r="M18">
        <v>30.2</v>
      </c>
      <c r="N18">
        <v>289</v>
      </c>
      <c r="O18">
        <v>57.9</v>
      </c>
      <c r="P18">
        <v>20</v>
      </c>
      <c r="Q18">
        <v>44</v>
      </c>
      <c r="R18">
        <v>698861</v>
      </c>
      <c r="S18">
        <v>14.72</v>
      </c>
      <c r="T18">
        <v>27.5</v>
      </c>
      <c r="U18">
        <v>203.6</v>
      </c>
      <c r="V18">
        <v>67.2</v>
      </c>
      <c r="W18">
        <v>20.3</v>
      </c>
      <c r="X18">
        <v>25.8</v>
      </c>
      <c r="Y18">
        <v>580701.19999999995</v>
      </c>
      <c r="Z18">
        <v>9.64</v>
      </c>
      <c r="AA18">
        <v>24.7</v>
      </c>
      <c r="AB18">
        <v>164.5</v>
      </c>
      <c r="AC18">
        <v>69.3</v>
      </c>
      <c r="AD18">
        <v>16.899999999999999</v>
      </c>
      <c r="AE18">
        <v>61.4</v>
      </c>
      <c r="AF18">
        <v>434579.4</v>
      </c>
      <c r="AG18">
        <v>8.33</v>
      </c>
      <c r="AH18">
        <v>20.2</v>
      </c>
      <c r="AI18">
        <v>103.5</v>
      </c>
      <c r="AJ18">
        <v>78.400000000000006</v>
      </c>
      <c r="AK18">
        <v>13.4</v>
      </c>
      <c r="AL18">
        <v>74.2</v>
      </c>
      <c r="AM18">
        <v>296887.3</v>
      </c>
      <c r="AN18">
        <v>7.19</v>
      </c>
      <c r="AO18">
        <v>14.1</v>
      </c>
      <c r="AP18">
        <v>55.6</v>
      </c>
      <c r="AQ18">
        <v>89</v>
      </c>
      <c r="AR18">
        <v>10.199999999999999</v>
      </c>
      <c r="AS18">
        <v>29.4</v>
      </c>
      <c r="AT18">
        <v>259488.8</v>
      </c>
      <c r="AU18">
        <v>8.8699999999999992</v>
      </c>
      <c r="AV18">
        <v>10.3</v>
      </c>
      <c r="AW18">
        <v>39.1</v>
      </c>
      <c r="AX18">
        <v>94.3</v>
      </c>
      <c r="AY18">
        <v>9.9</v>
      </c>
      <c r="AZ18">
        <v>141.6</v>
      </c>
      <c r="BA18">
        <v>287141.2</v>
      </c>
      <c r="BB18">
        <v>13.27</v>
      </c>
      <c r="BC18">
        <v>9.9</v>
      </c>
      <c r="BD18">
        <v>41.6</v>
      </c>
      <c r="BE18">
        <v>95.7</v>
      </c>
      <c r="BF18">
        <v>10.199999999999999</v>
      </c>
      <c r="BG18">
        <v>40.6</v>
      </c>
      <c r="BH18">
        <v>413517.6</v>
      </c>
      <c r="BI18">
        <v>9.5299999999999994</v>
      </c>
      <c r="BJ18">
        <v>9.9</v>
      </c>
      <c r="BK18">
        <v>69.599999999999994</v>
      </c>
      <c r="BL18">
        <v>91.9</v>
      </c>
      <c r="BM18">
        <v>11</v>
      </c>
      <c r="BN18">
        <v>58.6</v>
      </c>
      <c r="BO18">
        <v>513531</v>
      </c>
      <c r="BP18">
        <v>8.14</v>
      </c>
      <c r="BQ18">
        <v>10.7</v>
      </c>
      <c r="BR18">
        <v>97.3</v>
      </c>
      <c r="BS18">
        <v>87</v>
      </c>
      <c r="BT18">
        <v>12.2</v>
      </c>
      <c r="BU18">
        <v>52.2</v>
      </c>
      <c r="BV18">
        <v>641268.6</v>
      </c>
      <c r="BW18">
        <v>8.57</v>
      </c>
      <c r="BX18">
        <v>12.8</v>
      </c>
      <c r="BY18">
        <v>128.4</v>
      </c>
      <c r="BZ18">
        <v>83.9</v>
      </c>
      <c r="CA18">
        <v>15.8</v>
      </c>
      <c r="CB18">
        <v>20.2</v>
      </c>
      <c r="CC18">
        <v>791051.3</v>
      </c>
      <c r="CD18">
        <v>11.25</v>
      </c>
      <c r="CE18">
        <v>19.399999999999999</v>
      </c>
      <c r="CF18">
        <v>198.8</v>
      </c>
      <c r="CG18">
        <v>71.2</v>
      </c>
      <c r="CH18">
        <v>19.899999999999999</v>
      </c>
      <c r="CI18">
        <v>4</v>
      </c>
      <c r="CJ18">
        <v>946030</v>
      </c>
      <c r="CK18">
        <v>12.39</v>
      </c>
      <c r="CL18">
        <v>26.5</v>
      </c>
      <c r="CM18">
        <v>272.89999999999998</v>
      </c>
      <c r="CN18">
        <v>62.7</v>
      </c>
      <c r="CP18" s="2">
        <v>201.19636589166666</v>
      </c>
      <c r="CQ18" s="2">
        <v>333.51709289829085</v>
      </c>
      <c r="CR18" s="2">
        <v>284.27702022868755</v>
      </c>
      <c r="CS18" s="2">
        <v>216.31792831941917</v>
      </c>
      <c r="CT18" s="2">
        <v>220.93775683681835</v>
      </c>
      <c r="CU18" s="9">
        <v>0.06</v>
      </c>
      <c r="CV18" s="9">
        <v>0.14000000000000001</v>
      </c>
      <c r="CW18" s="9">
        <v>7.0000000000000007E-2</v>
      </c>
      <c r="CX18" s="9">
        <v>0.04</v>
      </c>
      <c r="CY18" s="2">
        <f t="shared" si="2"/>
        <v>83.789573661745791</v>
      </c>
      <c r="CZ18">
        <v>1906</v>
      </c>
      <c r="DA18">
        <v>791</v>
      </c>
      <c r="DB18">
        <v>672130</v>
      </c>
      <c r="DC18">
        <v>1780</v>
      </c>
      <c r="DE18" t="s">
        <v>146</v>
      </c>
      <c r="DF18">
        <v>82937</v>
      </c>
      <c r="DG18">
        <v>30573</v>
      </c>
      <c r="DH18">
        <v>68</v>
      </c>
      <c r="DI18" s="4">
        <v>2.7127530827854645</v>
      </c>
      <c r="DJ18" s="4">
        <v>0.63990648725387322</v>
      </c>
      <c r="DK18" s="6">
        <v>1219.6617647058824</v>
      </c>
      <c r="DL18" s="4">
        <v>0.56839815572246599</v>
      </c>
      <c r="DM18" s="6">
        <v>449.60294117647061</v>
      </c>
    </row>
    <row r="19" spans="1:117" x14ac:dyDescent="0.25">
      <c r="A19" t="s">
        <v>104</v>
      </c>
      <c r="B19" t="s">
        <v>122</v>
      </c>
      <c r="C19">
        <v>117.611931</v>
      </c>
      <c r="D19">
        <v>-33.683084999999998</v>
      </c>
      <c r="E19">
        <v>2022</v>
      </c>
      <c r="F19" t="s">
        <v>122</v>
      </c>
      <c r="G19" t="s">
        <v>139</v>
      </c>
      <c r="H19" t="s">
        <v>142</v>
      </c>
      <c r="I19">
        <v>21.6</v>
      </c>
      <c r="J19">
        <v>1.8</v>
      </c>
      <c r="K19">
        <v>960355.9</v>
      </c>
      <c r="L19">
        <v>13.8</v>
      </c>
      <c r="M19">
        <v>29.3</v>
      </c>
      <c r="N19">
        <v>281.8</v>
      </c>
      <c r="O19">
        <v>61.9</v>
      </c>
      <c r="P19">
        <v>22.1</v>
      </c>
      <c r="Q19">
        <v>5.4</v>
      </c>
      <c r="R19">
        <v>772325.7</v>
      </c>
      <c r="S19">
        <v>14.33</v>
      </c>
      <c r="T19">
        <v>28.5</v>
      </c>
      <c r="U19">
        <v>234.5</v>
      </c>
      <c r="V19">
        <v>62.3</v>
      </c>
      <c r="W19">
        <v>19.3</v>
      </c>
      <c r="X19">
        <v>37.799999999999997</v>
      </c>
      <c r="Y19">
        <v>556229.5</v>
      </c>
      <c r="Z19">
        <v>12.19</v>
      </c>
      <c r="AA19">
        <v>23.8</v>
      </c>
      <c r="AB19">
        <v>157.69999999999999</v>
      </c>
      <c r="AC19">
        <v>75</v>
      </c>
      <c r="AD19">
        <v>15.4</v>
      </c>
      <c r="AE19">
        <v>32</v>
      </c>
      <c r="AF19">
        <v>435877.4</v>
      </c>
      <c r="AG19">
        <v>7.39</v>
      </c>
      <c r="AH19">
        <v>18</v>
      </c>
      <c r="AI19">
        <v>95.6</v>
      </c>
      <c r="AJ19">
        <v>82.2</v>
      </c>
      <c r="AK19">
        <v>12.8</v>
      </c>
      <c r="AL19">
        <v>49.2</v>
      </c>
      <c r="AM19">
        <v>333880.3</v>
      </c>
      <c r="AN19">
        <v>7.04</v>
      </c>
      <c r="AO19">
        <v>14.2</v>
      </c>
      <c r="AP19">
        <v>70.5</v>
      </c>
      <c r="AQ19">
        <v>85.2</v>
      </c>
      <c r="AR19">
        <v>11</v>
      </c>
      <c r="AS19">
        <v>62.8</v>
      </c>
      <c r="AT19">
        <v>231278.9</v>
      </c>
      <c r="AU19">
        <v>8.51</v>
      </c>
      <c r="AV19">
        <v>11.4</v>
      </c>
      <c r="AW19">
        <v>30.9</v>
      </c>
      <c r="AX19">
        <v>96.7</v>
      </c>
      <c r="AY19">
        <v>9.6999999999999993</v>
      </c>
      <c r="AZ19">
        <v>69.8</v>
      </c>
      <c r="BA19">
        <v>288150.5</v>
      </c>
      <c r="BB19">
        <v>7.19</v>
      </c>
      <c r="BC19">
        <v>9.9</v>
      </c>
      <c r="BD19">
        <v>45.1</v>
      </c>
      <c r="BE19">
        <v>94</v>
      </c>
      <c r="BF19">
        <v>9.3000000000000007</v>
      </c>
      <c r="BG19">
        <v>66.8</v>
      </c>
      <c r="BH19">
        <v>394561.4</v>
      </c>
      <c r="BI19">
        <v>9.15</v>
      </c>
      <c r="BJ19">
        <v>10.4</v>
      </c>
      <c r="BK19">
        <v>60.3</v>
      </c>
      <c r="BL19">
        <v>94.8</v>
      </c>
      <c r="BM19">
        <v>11.5</v>
      </c>
      <c r="BN19">
        <v>30.6</v>
      </c>
      <c r="BO19">
        <v>521193.5</v>
      </c>
      <c r="BP19">
        <v>7.72</v>
      </c>
      <c r="BQ19">
        <v>13</v>
      </c>
      <c r="BR19">
        <v>94</v>
      </c>
      <c r="BS19">
        <v>90.8</v>
      </c>
      <c r="BT19">
        <v>12.3</v>
      </c>
      <c r="BU19">
        <v>63.2</v>
      </c>
      <c r="BV19">
        <v>631793.19999999995</v>
      </c>
      <c r="BW19">
        <v>9.18</v>
      </c>
      <c r="BX19">
        <v>15.9</v>
      </c>
      <c r="BY19">
        <v>134</v>
      </c>
      <c r="BZ19">
        <v>82.8</v>
      </c>
      <c r="CA19">
        <v>15.6</v>
      </c>
      <c r="CB19">
        <v>12.8</v>
      </c>
      <c r="CC19">
        <v>724598.3</v>
      </c>
      <c r="CD19">
        <v>10.46</v>
      </c>
      <c r="CE19">
        <v>20</v>
      </c>
      <c r="CF19">
        <v>165.5</v>
      </c>
      <c r="CG19">
        <v>76.8</v>
      </c>
      <c r="CH19">
        <v>18.8</v>
      </c>
      <c r="CI19">
        <v>14.8</v>
      </c>
      <c r="CJ19">
        <v>921649.6</v>
      </c>
      <c r="CK19">
        <v>13.4</v>
      </c>
      <c r="CL19">
        <v>27.5</v>
      </c>
      <c r="CM19">
        <v>250</v>
      </c>
      <c r="CN19">
        <v>70.2</v>
      </c>
      <c r="CP19" s="2">
        <v>289.67373585000001</v>
      </c>
      <c r="CQ19" s="2">
        <v>542.29644206599164</v>
      </c>
      <c r="CR19" s="2">
        <v>496.38748434885002</v>
      </c>
      <c r="CS19" s="2">
        <v>518.45774085826167</v>
      </c>
      <c r="CT19" s="2">
        <v>633.48375672743168</v>
      </c>
      <c r="CU19" s="9">
        <v>0.06</v>
      </c>
      <c r="CV19" s="9">
        <v>0.14000000000000001</v>
      </c>
      <c r="CW19" s="9">
        <v>7.0000000000000007E-2</v>
      </c>
      <c r="CX19" s="9">
        <v>0.04</v>
      </c>
      <c r="CY19" s="2">
        <f t="shared" si="2"/>
        <v>163.6634264619741</v>
      </c>
      <c r="CZ19">
        <v>2575</v>
      </c>
      <c r="DA19">
        <v>794</v>
      </c>
      <c r="DB19">
        <v>817540</v>
      </c>
      <c r="DC19">
        <v>2395</v>
      </c>
      <c r="DE19" t="s">
        <v>146</v>
      </c>
      <c r="DK19" s="5">
        <f>+DJ18*CZ19</f>
        <v>1647.7592046787236</v>
      </c>
      <c r="DM19" s="5">
        <f>+DL18*DA19</f>
        <v>451.30813564363802</v>
      </c>
    </row>
    <row r="20" spans="1:117" x14ac:dyDescent="0.25">
      <c r="A20" t="s">
        <v>105</v>
      </c>
      <c r="B20" t="s">
        <v>123</v>
      </c>
      <c r="C20">
        <v>118.30184800000001</v>
      </c>
      <c r="D20">
        <v>-32.790382000000001</v>
      </c>
      <c r="E20">
        <v>2021</v>
      </c>
      <c r="F20" t="s">
        <v>123</v>
      </c>
      <c r="G20" t="s">
        <v>141</v>
      </c>
      <c r="H20" t="s">
        <v>144</v>
      </c>
      <c r="I20">
        <v>22.7</v>
      </c>
      <c r="J20">
        <v>0.6</v>
      </c>
      <c r="K20">
        <v>943677.7</v>
      </c>
      <c r="L20">
        <v>17.3</v>
      </c>
      <c r="M20">
        <v>29.4</v>
      </c>
      <c r="N20">
        <v>323.3</v>
      </c>
      <c r="O20">
        <v>47.8</v>
      </c>
      <c r="P20">
        <v>21.4</v>
      </c>
      <c r="Q20">
        <v>27.6</v>
      </c>
      <c r="R20">
        <v>698347.6</v>
      </c>
      <c r="S20">
        <v>16.02</v>
      </c>
      <c r="T20">
        <v>25.8</v>
      </c>
      <c r="U20">
        <v>228.8</v>
      </c>
      <c r="V20">
        <v>56.4</v>
      </c>
      <c r="W20">
        <v>21.2</v>
      </c>
      <c r="X20">
        <v>58.4</v>
      </c>
      <c r="Y20">
        <v>593094.40000000002</v>
      </c>
      <c r="Z20">
        <v>10.82</v>
      </c>
      <c r="AA20">
        <v>23</v>
      </c>
      <c r="AB20">
        <v>183.6</v>
      </c>
      <c r="AC20">
        <v>59.3</v>
      </c>
      <c r="AD20">
        <v>17.899999999999999</v>
      </c>
      <c r="AE20">
        <v>35.799999999999997</v>
      </c>
      <c r="AF20">
        <v>455448.2</v>
      </c>
      <c r="AG20">
        <v>10.130000000000001</v>
      </c>
      <c r="AH20">
        <v>20.5</v>
      </c>
      <c r="AI20">
        <v>130</v>
      </c>
      <c r="AJ20">
        <v>66.2</v>
      </c>
      <c r="AK20">
        <v>13.5</v>
      </c>
      <c r="AL20">
        <v>99.4</v>
      </c>
      <c r="AM20">
        <v>327897.09999999998</v>
      </c>
      <c r="AN20">
        <v>8.9499999999999993</v>
      </c>
      <c r="AO20">
        <v>15.1</v>
      </c>
      <c r="AP20">
        <v>75.8</v>
      </c>
      <c r="AQ20">
        <v>78.599999999999994</v>
      </c>
      <c r="AR20">
        <v>9.6</v>
      </c>
      <c r="AS20">
        <v>44</v>
      </c>
      <c r="AT20">
        <v>280761.2</v>
      </c>
      <c r="AU20">
        <v>8.84</v>
      </c>
      <c r="AV20">
        <v>11.3</v>
      </c>
      <c r="AW20">
        <v>53.1</v>
      </c>
      <c r="AX20">
        <v>86.1</v>
      </c>
      <c r="AY20">
        <v>10.199999999999999</v>
      </c>
      <c r="AZ20">
        <v>128.19999999999999</v>
      </c>
      <c r="BA20">
        <v>293965.90000000002</v>
      </c>
      <c r="BB20">
        <v>13.07</v>
      </c>
      <c r="BC20">
        <v>10.8</v>
      </c>
      <c r="BD20">
        <v>52.7</v>
      </c>
      <c r="BE20">
        <v>88.2</v>
      </c>
      <c r="BF20">
        <v>10.5</v>
      </c>
      <c r="BG20">
        <v>46</v>
      </c>
      <c r="BH20">
        <v>425843.4</v>
      </c>
      <c r="BI20">
        <v>9.18</v>
      </c>
      <c r="BJ20">
        <v>11.7</v>
      </c>
      <c r="BK20">
        <v>82.4</v>
      </c>
      <c r="BL20">
        <v>83</v>
      </c>
      <c r="BM20">
        <v>11.7</v>
      </c>
      <c r="BN20">
        <v>10.199999999999999</v>
      </c>
      <c r="BO20">
        <v>567524.80000000005</v>
      </c>
      <c r="BP20">
        <v>9.59</v>
      </c>
      <c r="BQ20">
        <v>14.7</v>
      </c>
      <c r="BR20">
        <v>132.1</v>
      </c>
      <c r="BS20">
        <v>72.5</v>
      </c>
      <c r="BT20">
        <v>13.9</v>
      </c>
      <c r="BU20">
        <v>49.4</v>
      </c>
      <c r="BV20">
        <v>685610</v>
      </c>
      <c r="BW20">
        <v>9.93</v>
      </c>
      <c r="BX20">
        <v>18.2</v>
      </c>
      <c r="BY20">
        <v>166.6</v>
      </c>
      <c r="BZ20">
        <v>67.599999999999994</v>
      </c>
      <c r="CA20">
        <v>18</v>
      </c>
      <c r="CB20">
        <v>2</v>
      </c>
      <c r="CC20">
        <v>831030.6</v>
      </c>
      <c r="CD20">
        <v>14.26</v>
      </c>
      <c r="CE20">
        <v>24.5</v>
      </c>
      <c r="CF20">
        <v>246</v>
      </c>
      <c r="CG20">
        <v>54.6</v>
      </c>
      <c r="CH20">
        <v>22.3</v>
      </c>
      <c r="CI20">
        <v>0.2</v>
      </c>
      <c r="CJ20">
        <v>982320.3</v>
      </c>
      <c r="CK20">
        <v>15.41</v>
      </c>
      <c r="CL20">
        <v>7.8</v>
      </c>
      <c r="CM20">
        <v>319.2</v>
      </c>
      <c r="CN20">
        <v>48.4</v>
      </c>
      <c r="CP20" s="2">
        <v>201.19636589166666</v>
      </c>
      <c r="CQ20" s="2">
        <v>333.51709289829085</v>
      </c>
      <c r="CR20" s="2">
        <v>284.27702022868755</v>
      </c>
      <c r="CS20" s="2">
        <v>216.31792831941917</v>
      </c>
      <c r="CT20" s="2">
        <v>220.93775683681835</v>
      </c>
      <c r="CU20" s="9">
        <v>0.06</v>
      </c>
      <c r="CV20" s="9">
        <v>0.14000000000000001</v>
      </c>
      <c r="CW20" s="9">
        <v>7.0000000000000007E-2</v>
      </c>
      <c r="CX20" s="9">
        <v>0.04</v>
      </c>
      <c r="CY20" s="2">
        <f t="shared" si="2"/>
        <v>83.789573661745791</v>
      </c>
      <c r="CZ20">
        <v>2084</v>
      </c>
      <c r="DA20">
        <v>1442</v>
      </c>
      <c r="DB20">
        <v>630080</v>
      </c>
      <c r="DC20">
        <v>1947</v>
      </c>
      <c r="DE20" t="s">
        <v>146</v>
      </c>
      <c r="DF20">
        <v>642527</v>
      </c>
      <c r="DG20">
        <v>369092</v>
      </c>
      <c r="DH20">
        <v>393</v>
      </c>
      <c r="DI20" s="4">
        <v>1.7408315541924506</v>
      </c>
      <c r="DJ20" s="4">
        <v>0.78451475680454008</v>
      </c>
      <c r="DK20" s="6">
        <v>1634.9287531806615</v>
      </c>
      <c r="DL20" s="4">
        <v>0.65129361609017733</v>
      </c>
      <c r="DM20" s="6">
        <v>939.16539440203564</v>
      </c>
    </row>
    <row r="21" spans="1:117" x14ac:dyDescent="0.25">
      <c r="A21" t="s">
        <v>105</v>
      </c>
      <c r="B21" t="s">
        <v>123</v>
      </c>
      <c r="C21">
        <v>118.30184800000001</v>
      </c>
      <c r="D21">
        <v>-32.790382000000001</v>
      </c>
      <c r="E21">
        <v>2022</v>
      </c>
      <c r="F21" t="s">
        <v>123</v>
      </c>
      <c r="G21" t="s">
        <v>141</v>
      </c>
      <c r="H21" t="s">
        <v>144</v>
      </c>
      <c r="I21">
        <v>23.6</v>
      </c>
      <c r="J21">
        <v>0</v>
      </c>
      <c r="K21">
        <v>952098.6</v>
      </c>
      <c r="L21">
        <v>16.89</v>
      </c>
      <c r="N21">
        <v>328.2</v>
      </c>
      <c r="O21">
        <v>48.9</v>
      </c>
      <c r="P21">
        <v>24.1</v>
      </c>
      <c r="Q21">
        <v>3.4</v>
      </c>
      <c r="R21">
        <v>783691.3</v>
      </c>
      <c r="S21">
        <v>16.63</v>
      </c>
      <c r="U21">
        <v>271.7</v>
      </c>
      <c r="V21">
        <v>49.7</v>
      </c>
      <c r="W21">
        <v>20.9</v>
      </c>
      <c r="X21">
        <v>20</v>
      </c>
      <c r="Y21">
        <v>591780.9</v>
      </c>
      <c r="Z21">
        <v>14.25</v>
      </c>
      <c r="AA21">
        <v>0.6</v>
      </c>
      <c r="AB21">
        <v>197.9</v>
      </c>
      <c r="AC21">
        <v>60.2</v>
      </c>
      <c r="AD21">
        <v>15.1</v>
      </c>
      <c r="AE21">
        <v>1.8</v>
      </c>
      <c r="AF21">
        <v>264042.5</v>
      </c>
      <c r="AG21">
        <v>9.68</v>
      </c>
      <c r="AH21">
        <v>18.3</v>
      </c>
      <c r="AI21">
        <v>61.9</v>
      </c>
      <c r="AJ21">
        <v>72.099999999999994</v>
      </c>
      <c r="AK21">
        <v>13.1</v>
      </c>
      <c r="AL21">
        <v>60.2</v>
      </c>
      <c r="AM21">
        <v>367799.8</v>
      </c>
      <c r="AN21">
        <v>9.2899999999999991</v>
      </c>
      <c r="AO21">
        <v>15.5</v>
      </c>
      <c r="AP21">
        <v>92.2</v>
      </c>
      <c r="AQ21">
        <v>73.7</v>
      </c>
      <c r="AR21">
        <v>11.1</v>
      </c>
      <c r="AS21">
        <v>70.599999999999994</v>
      </c>
      <c r="AT21">
        <v>290533.8</v>
      </c>
      <c r="AU21">
        <v>9.11</v>
      </c>
      <c r="AV21">
        <v>12.8</v>
      </c>
      <c r="AW21">
        <v>55.1</v>
      </c>
      <c r="AX21">
        <v>83.9</v>
      </c>
      <c r="AY21">
        <v>9.3000000000000007</v>
      </c>
      <c r="AZ21">
        <v>55</v>
      </c>
      <c r="BA21">
        <v>313963.90000000002</v>
      </c>
      <c r="BB21">
        <v>7.42</v>
      </c>
      <c r="BC21">
        <v>11.2</v>
      </c>
      <c r="BD21">
        <v>58.5</v>
      </c>
      <c r="BE21">
        <v>85</v>
      </c>
      <c r="BF21">
        <v>9.1</v>
      </c>
      <c r="BG21">
        <v>61.8</v>
      </c>
      <c r="BH21">
        <v>430520.6</v>
      </c>
      <c r="BI21">
        <v>9.0500000000000007</v>
      </c>
      <c r="BJ21">
        <v>11.6</v>
      </c>
      <c r="BK21">
        <v>78.2</v>
      </c>
      <c r="BL21">
        <v>84</v>
      </c>
      <c r="BM21">
        <v>11.6</v>
      </c>
      <c r="BN21">
        <v>37.200000000000003</v>
      </c>
      <c r="BO21">
        <v>547803.80000000005</v>
      </c>
      <c r="BP21">
        <v>7.8</v>
      </c>
      <c r="BQ21">
        <v>14.2</v>
      </c>
      <c r="BR21">
        <v>114.2</v>
      </c>
      <c r="BS21">
        <v>79</v>
      </c>
      <c r="BT21">
        <v>12.9</v>
      </c>
      <c r="BU21">
        <v>39.4</v>
      </c>
      <c r="BV21">
        <v>710974.5</v>
      </c>
      <c r="BW21">
        <v>9.85</v>
      </c>
      <c r="BX21">
        <v>18.2</v>
      </c>
      <c r="BY21">
        <v>170.4</v>
      </c>
      <c r="BZ21">
        <v>69.7</v>
      </c>
      <c r="CA21">
        <v>16.899999999999999</v>
      </c>
      <c r="CB21">
        <v>17.600000000000001</v>
      </c>
      <c r="CC21">
        <v>773282.9</v>
      </c>
      <c r="CD21">
        <v>11.37</v>
      </c>
      <c r="CE21">
        <v>22.2</v>
      </c>
      <c r="CF21">
        <v>209</v>
      </c>
      <c r="CG21">
        <v>61.1</v>
      </c>
      <c r="CH21">
        <v>20.9</v>
      </c>
      <c r="CI21">
        <v>0</v>
      </c>
      <c r="CJ21">
        <v>967680.9</v>
      </c>
      <c r="CK21">
        <v>13.98</v>
      </c>
      <c r="CL21">
        <v>29.5</v>
      </c>
      <c r="CM21">
        <v>295.5</v>
      </c>
      <c r="CN21">
        <v>53</v>
      </c>
      <c r="CP21" s="2">
        <v>289.67373585000001</v>
      </c>
      <c r="CQ21" s="2">
        <v>542.29644206599164</v>
      </c>
      <c r="CR21" s="2">
        <v>496.38748434885002</v>
      </c>
      <c r="CS21" s="2">
        <v>518.45774085826167</v>
      </c>
      <c r="CT21" s="2">
        <v>633.48375672743168</v>
      </c>
      <c r="CU21" s="9">
        <v>0.06</v>
      </c>
      <c r="CV21" s="9">
        <v>0.14000000000000001</v>
      </c>
      <c r="CW21" s="9">
        <v>7.0000000000000007E-2</v>
      </c>
      <c r="CX21" s="9">
        <v>0.04</v>
      </c>
      <c r="CY21" s="2">
        <f t="shared" si="2"/>
        <v>163.6634264619741</v>
      </c>
      <c r="CZ21">
        <v>3283</v>
      </c>
      <c r="DA21">
        <v>1633</v>
      </c>
      <c r="DB21">
        <v>1057730</v>
      </c>
      <c r="DC21">
        <v>3165</v>
      </c>
      <c r="DE21" t="s">
        <v>146</v>
      </c>
      <c r="DK21" s="5">
        <f>+DJ20*CZ21</f>
        <v>2575.5619465893051</v>
      </c>
      <c r="DM21" s="5">
        <f>+DL20*DA21</f>
        <v>1063.5624750752595</v>
      </c>
    </row>
    <row r="22" spans="1:117" x14ac:dyDescent="0.25">
      <c r="A22" t="s">
        <v>106</v>
      </c>
      <c r="B22" t="s">
        <v>124</v>
      </c>
      <c r="C22">
        <v>118.226202</v>
      </c>
      <c r="D22">
        <v>-31.493127999999999</v>
      </c>
      <c r="E22">
        <v>2021</v>
      </c>
      <c r="F22" t="s">
        <v>124</v>
      </c>
      <c r="G22" t="s">
        <v>141</v>
      </c>
      <c r="H22" t="s">
        <v>144</v>
      </c>
      <c r="I22">
        <v>26</v>
      </c>
      <c r="J22">
        <v>0.4</v>
      </c>
      <c r="K22">
        <v>976712</v>
      </c>
      <c r="L22">
        <v>16.91</v>
      </c>
      <c r="M22">
        <v>33.799999999999997</v>
      </c>
      <c r="N22">
        <v>365.7</v>
      </c>
      <c r="O22">
        <v>35.4</v>
      </c>
      <c r="P22">
        <v>23.9</v>
      </c>
      <c r="Q22">
        <v>26.8</v>
      </c>
      <c r="R22">
        <v>743522</v>
      </c>
      <c r="S22">
        <v>14.15</v>
      </c>
      <c r="T22">
        <v>30.1</v>
      </c>
      <c r="U22">
        <v>257.8</v>
      </c>
      <c r="V22">
        <v>45.9</v>
      </c>
      <c r="W22">
        <v>23.5</v>
      </c>
      <c r="X22">
        <v>75.2</v>
      </c>
      <c r="Y22">
        <v>682189.2</v>
      </c>
      <c r="Z22">
        <v>11.48</v>
      </c>
      <c r="AA22">
        <v>26.7</v>
      </c>
      <c r="AB22">
        <v>232.1</v>
      </c>
      <c r="AC22">
        <v>49</v>
      </c>
      <c r="AD22">
        <v>20.5</v>
      </c>
      <c r="AE22">
        <v>18.2</v>
      </c>
      <c r="AF22">
        <v>510902.9</v>
      </c>
      <c r="AG22">
        <v>10.029999999999999</v>
      </c>
      <c r="AH22">
        <v>23.8</v>
      </c>
      <c r="AI22">
        <v>175.8</v>
      </c>
      <c r="AJ22">
        <v>51.1</v>
      </c>
      <c r="AK22">
        <v>15.2</v>
      </c>
      <c r="AL22">
        <v>59.4</v>
      </c>
      <c r="AM22">
        <v>373729.7</v>
      </c>
      <c r="AN22">
        <v>9.9</v>
      </c>
      <c r="AO22">
        <v>16.5</v>
      </c>
      <c r="AP22">
        <v>108.7</v>
      </c>
      <c r="AQ22">
        <v>68.400000000000006</v>
      </c>
      <c r="AR22">
        <v>10.3</v>
      </c>
      <c r="AS22">
        <v>30</v>
      </c>
      <c r="AT22">
        <v>304435.20000000001</v>
      </c>
      <c r="AU22">
        <v>8.07</v>
      </c>
      <c r="AV22">
        <v>11.5</v>
      </c>
      <c r="AW22">
        <v>62.7</v>
      </c>
      <c r="AX22">
        <v>80.400000000000006</v>
      </c>
      <c r="AY22">
        <v>11.3</v>
      </c>
      <c r="AZ22">
        <v>60.6</v>
      </c>
      <c r="BA22">
        <v>305449.2</v>
      </c>
      <c r="BB22">
        <v>10.97</v>
      </c>
      <c r="BC22">
        <v>12.2</v>
      </c>
      <c r="BD22">
        <v>59.4</v>
      </c>
      <c r="BE22">
        <v>85</v>
      </c>
      <c r="BF22">
        <v>11.2</v>
      </c>
      <c r="BG22">
        <v>26.8</v>
      </c>
      <c r="BH22">
        <v>451715</v>
      </c>
      <c r="BI22">
        <v>7.77</v>
      </c>
      <c r="BJ22">
        <v>12.7</v>
      </c>
      <c r="BK22">
        <v>98.6</v>
      </c>
      <c r="BL22">
        <v>76.400000000000006</v>
      </c>
      <c r="BM22">
        <v>13.1</v>
      </c>
      <c r="BN22">
        <v>8.6</v>
      </c>
      <c r="BO22">
        <v>597513.5</v>
      </c>
      <c r="BP22">
        <v>7.92</v>
      </c>
      <c r="BQ22">
        <v>17</v>
      </c>
      <c r="BR22">
        <v>151.69999999999999</v>
      </c>
      <c r="BS22">
        <v>61</v>
      </c>
      <c r="BT22">
        <v>15.4</v>
      </c>
      <c r="BU22">
        <v>46.4</v>
      </c>
      <c r="BV22">
        <v>748446.5</v>
      </c>
      <c r="BW22">
        <v>8.6199999999999992</v>
      </c>
      <c r="BX22">
        <v>20.3</v>
      </c>
      <c r="BY22">
        <v>192.8</v>
      </c>
      <c r="BZ22">
        <v>59.3</v>
      </c>
      <c r="CA22">
        <v>20.399999999999999</v>
      </c>
      <c r="CB22">
        <v>8</v>
      </c>
      <c r="CC22">
        <v>863370.4</v>
      </c>
      <c r="CD22">
        <v>11.42</v>
      </c>
      <c r="CE22">
        <v>26.7</v>
      </c>
      <c r="CF22">
        <v>267</v>
      </c>
      <c r="CG22">
        <v>45.1</v>
      </c>
      <c r="CH22">
        <v>25.6</v>
      </c>
      <c r="CI22">
        <v>0.2</v>
      </c>
      <c r="CJ22">
        <v>1021098.6</v>
      </c>
      <c r="CK22">
        <v>14.46</v>
      </c>
      <c r="CL22">
        <v>34</v>
      </c>
      <c r="CM22">
        <v>360.6</v>
      </c>
      <c r="CN22">
        <v>36.700000000000003</v>
      </c>
      <c r="CP22" s="2">
        <v>201.19636589166666</v>
      </c>
      <c r="CQ22" s="2">
        <v>333.51709289829085</v>
      </c>
      <c r="CR22" s="2">
        <v>284.27702022868755</v>
      </c>
      <c r="CS22" s="2">
        <v>216.31792831941917</v>
      </c>
      <c r="CT22" s="2">
        <v>220.93775683681835</v>
      </c>
      <c r="CU22" s="9">
        <v>0.06</v>
      </c>
      <c r="CV22" s="9">
        <v>0.14000000000000001</v>
      </c>
      <c r="CW22" s="9">
        <v>7.0000000000000007E-2</v>
      </c>
      <c r="CX22" s="9">
        <v>0.04</v>
      </c>
      <c r="CY22" s="2">
        <f t="shared" si="2"/>
        <v>83.789573661745791</v>
      </c>
      <c r="CZ22">
        <v>2084</v>
      </c>
      <c r="DA22">
        <v>1442</v>
      </c>
      <c r="DB22">
        <v>630080</v>
      </c>
      <c r="DC22">
        <v>1947</v>
      </c>
      <c r="DD22" s="4">
        <f t="shared" ref="DD22:DD23" si="3">+CZ22/DA22</f>
        <v>1.4452149791955617</v>
      </c>
      <c r="DE22" t="s">
        <v>147</v>
      </c>
      <c r="DF22">
        <v>548763</v>
      </c>
      <c r="DG22">
        <v>355882</v>
      </c>
      <c r="DH22">
        <v>203</v>
      </c>
      <c r="DI22" s="4">
        <v>1.5419802069225192</v>
      </c>
      <c r="DJ22" s="4">
        <v>1.2971525958983767</v>
      </c>
      <c r="DK22" s="6">
        <v>2703.2660098522169</v>
      </c>
      <c r="DL22" s="4">
        <v>1.2157512486079132</v>
      </c>
      <c r="DM22" s="6">
        <v>1753.1133004926107</v>
      </c>
    </row>
    <row r="23" spans="1:117" x14ac:dyDescent="0.25">
      <c r="A23" t="s">
        <v>106</v>
      </c>
      <c r="B23" t="s">
        <v>124</v>
      </c>
      <c r="C23">
        <v>118.226202</v>
      </c>
      <c r="D23">
        <v>-31.493127999999999</v>
      </c>
      <c r="E23">
        <v>2022</v>
      </c>
      <c r="F23" t="s">
        <v>124</v>
      </c>
      <c r="G23" t="s">
        <v>141</v>
      </c>
      <c r="H23" t="s">
        <v>144</v>
      </c>
      <c r="I23">
        <v>27.1</v>
      </c>
      <c r="J23">
        <v>0</v>
      </c>
      <c r="K23">
        <v>1003691.8</v>
      </c>
      <c r="L23">
        <v>15.68</v>
      </c>
      <c r="M23">
        <v>36.4</v>
      </c>
      <c r="N23">
        <v>370.5</v>
      </c>
      <c r="O23">
        <v>37.200000000000003</v>
      </c>
      <c r="P23">
        <v>27</v>
      </c>
      <c r="Q23">
        <v>29.4</v>
      </c>
      <c r="R23">
        <v>813222.7</v>
      </c>
      <c r="S23">
        <v>14.78</v>
      </c>
      <c r="T23">
        <v>33.1</v>
      </c>
      <c r="U23">
        <v>303.2</v>
      </c>
      <c r="V23">
        <v>39.700000000000003</v>
      </c>
      <c r="W23">
        <v>23</v>
      </c>
      <c r="X23">
        <v>30.8</v>
      </c>
      <c r="Y23">
        <v>674276</v>
      </c>
      <c r="Z23">
        <v>14.41</v>
      </c>
      <c r="AA23">
        <v>28.5</v>
      </c>
      <c r="AB23">
        <v>240.6</v>
      </c>
      <c r="AC23">
        <v>52.9</v>
      </c>
      <c r="AD23">
        <v>17.899999999999999</v>
      </c>
      <c r="AE23">
        <v>46.2</v>
      </c>
      <c r="AF23">
        <v>478957.6</v>
      </c>
      <c r="AG23">
        <v>10.62</v>
      </c>
      <c r="AH23">
        <v>19.899999999999999</v>
      </c>
      <c r="AI23">
        <v>135.9</v>
      </c>
      <c r="AJ23">
        <v>65.400000000000006</v>
      </c>
      <c r="AK23">
        <v>14.9</v>
      </c>
      <c r="AL23">
        <v>37.200000000000003</v>
      </c>
      <c r="AM23">
        <v>401098</v>
      </c>
      <c r="AN23">
        <v>9.1300000000000008</v>
      </c>
      <c r="AO23">
        <v>16</v>
      </c>
      <c r="AP23">
        <v>112.4</v>
      </c>
      <c r="AQ23">
        <v>66.2</v>
      </c>
      <c r="AR23">
        <v>11.8</v>
      </c>
      <c r="AS23">
        <v>34.4</v>
      </c>
      <c r="AT23">
        <v>326412</v>
      </c>
      <c r="AU23">
        <v>8.86</v>
      </c>
      <c r="AV23">
        <v>12.8</v>
      </c>
      <c r="AW23">
        <v>70.900000000000006</v>
      </c>
      <c r="AX23">
        <v>79.7</v>
      </c>
      <c r="AY23">
        <v>10.8</v>
      </c>
      <c r="AZ23">
        <v>41.2</v>
      </c>
      <c r="BA23">
        <v>353022.5</v>
      </c>
      <c r="BB23">
        <v>7.56</v>
      </c>
      <c r="BC23">
        <v>12</v>
      </c>
      <c r="BD23">
        <v>79.8</v>
      </c>
      <c r="BE23">
        <v>76.099999999999994</v>
      </c>
      <c r="BF23">
        <v>10</v>
      </c>
      <c r="BG23">
        <v>76.8</v>
      </c>
      <c r="BH23">
        <v>443929.2</v>
      </c>
      <c r="BI23">
        <v>7.96</v>
      </c>
      <c r="BJ23">
        <v>12.1</v>
      </c>
      <c r="BK23">
        <v>86.1</v>
      </c>
      <c r="BL23">
        <v>80.2</v>
      </c>
      <c r="BM23">
        <v>12.8</v>
      </c>
      <c r="BN23">
        <v>35.799999999999997</v>
      </c>
      <c r="BO23">
        <v>546764</v>
      </c>
      <c r="BP23">
        <v>7.09</v>
      </c>
      <c r="BQ23">
        <v>16</v>
      </c>
      <c r="BR23">
        <v>123.5</v>
      </c>
      <c r="BS23">
        <v>73</v>
      </c>
      <c r="BT23">
        <v>15.1</v>
      </c>
      <c r="BU23">
        <v>22.4</v>
      </c>
      <c r="BV23">
        <v>735932</v>
      </c>
      <c r="BW23">
        <v>8.02</v>
      </c>
      <c r="BX23">
        <v>21.3</v>
      </c>
      <c r="BY23">
        <v>191.9</v>
      </c>
      <c r="BZ23">
        <v>58.4</v>
      </c>
      <c r="CA23">
        <v>19.5</v>
      </c>
      <c r="CB23">
        <v>40.4</v>
      </c>
      <c r="CC23">
        <v>750661.2</v>
      </c>
      <c r="CD23">
        <v>9.9</v>
      </c>
      <c r="CE23">
        <v>24.3</v>
      </c>
      <c r="CF23">
        <v>225.7</v>
      </c>
      <c r="CG23">
        <v>49.9</v>
      </c>
      <c r="CH23">
        <v>24.1</v>
      </c>
      <c r="CI23">
        <v>0</v>
      </c>
      <c r="CJ23">
        <v>1010826.5</v>
      </c>
      <c r="CK23">
        <v>12.54</v>
      </c>
      <c r="CL23">
        <v>31.9</v>
      </c>
      <c r="CM23">
        <v>332.3</v>
      </c>
      <c r="CN23">
        <v>39.299999999999997</v>
      </c>
      <c r="CP23" s="2">
        <v>289.67373585000001</v>
      </c>
      <c r="CQ23" s="2">
        <v>542.29644206599164</v>
      </c>
      <c r="CR23" s="2">
        <v>496.38748434885002</v>
      </c>
      <c r="CS23" s="2">
        <v>518.45774085826167</v>
      </c>
      <c r="CT23" s="2">
        <v>633.48375672743168</v>
      </c>
      <c r="CU23" s="9">
        <v>0.06</v>
      </c>
      <c r="CV23" s="9">
        <v>0.14000000000000001</v>
      </c>
      <c r="CW23" s="9">
        <v>7.0000000000000007E-2</v>
      </c>
      <c r="CX23" s="9">
        <v>0.04</v>
      </c>
      <c r="CY23" s="2">
        <f t="shared" si="2"/>
        <v>163.6634264619741</v>
      </c>
      <c r="CZ23">
        <v>3283</v>
      </c>
      <c r="DA23">
        <v>1633</v>
      </c>
      <c r="DB23">
        <v>1057730</v>
      </c>
      <c r="DC23">
        <v>3165</v>
      </c>
      <c r="DD23" s="1">
        <f t="shared" si="3"/>
        <v>2.0104102878138397</v>
      </c>
      <c r="DE23" t="s">
        <v>147</v>
      </c>
      <c r="DK23" s="5">
        <f>+DJ22*CZ23</f>
        <v>4258.5519723343705</v>
      </c>
      <c r="DM23" s="5">
        <f>+DL22*DA23</f>
        <v>1985.3217889767222</v>
      </c>
    </row>
    <row r="24" spans="1:117" x14ac:dyDescent="0.25">
      <c r="A24" t="s">
        <v>107</v>
      </c>
      <c r="B24" t="s">
        <v>125</v>
      </c>
      <c r="C24">
        <v>116.00015</v>
      </c>
      <c r="D24">
        <v>-30.659594999999999</v>
      </c>
      <c r="E24">
        <v>2021</v>
      </c>
      <c r="F24" t="s">
        <v>125</v>
      </c>
      <c r="G24" t="s">
        <v>139</v>
      </c>
      <c r="H24" t="s">
        <v>142</v>
      </c>
      <c r="I24">
        <v>26.2</v>
      </c>
      <c r="J24">
        <v>2.4</v>
      </c>
      <c r="K24">
        <v>963009.2</v>
      </c>
      <c r="L24">
        <v>13.9</v>
      </c>
      <c r="M24">
        <v>36.9</v>
      </c>
      <c r="N24">
        <v>350.5</v>
      </c>
      <c r="O24">
        <v>37.9</v>
      </c>
      <c r="P24">
        <v>23.9</v>
      </c>
      <c r="Q24">
        <v>72.599999999999994</v>
      </c>
      <c r="R24">
        <v>744678.2</v>
      </c>
      <c r="S24">
        <v>12.17</v>
      </c>
      <c r="T24">
        <v>30.9</v>
      </c>
      <c r="U24">
        <v>250.2</v>
      </c>
      <c r="V24">
        <v>49.6</v>
      </c>
      <c r="W24">
        <v>23.6</v>
      </c>
      <c r="X24">
        <v>76.8</v>
      </c>
      <c r="Y24">
        <v>699549.3</v>
      </c>
      <c r="Z24">
        <v>9.2899999999999991</v>
      </c>
      <c r="AA24">
        <v>29.1</v>
      </c>
      <c r="AB24">
        <v>224.9</v>
      </c>
      <c r="AC24">
        <v>53.7</v>
      </c>
      <c r="AD24">
        <v>20.5</v>
      </c>
      <c r="AE24">
        <v>24.4</v>
      </c>
      <c r="AF24">
        <v>494900.1</v>
      </c>
      <c r="AG24">
        <v>7.92</v>
      </c>
      <c r="AH24">
        <v>24.5</v>
      </c>
      <c r="AI24">
        <v>158.9</v>
      </c>
      <c r="AJ24">
        <v>56.6</v>
      </c>
      <c r="AK24">
        <v>16.3</v>
      </c>
      <c r="AL24">
        <v>64.400000000000006</v>
      </c>
      <c r="AM24">
        <v>374100</v>
      </c>
      <c r="AN24">
        <v>7.13</v>
      </c>
      <c r="AO24">
        <v>18.7</v>
      </c>
      <c r="AP24">
        <v>104</v>
      </c>
      <c r="AQ24">
        <v>68.3</v>
      </c>
      <c r="AR24">
        <v>11.4</v>
      </c>
      <c r="AS24">
        <v>44.2</v>
      </c>
      <c r="AT24">
        <v>330053.90000000002</v>
      </c>
      <c r="AU24">
        <v>6.01</v>
      </c>
      <c r="AV24">
        <v>13.1</v>
      </c>
      <c r="AW24">
        <v>68.3</v>
      </c>
      <c r="AX24">
        <v>81.599999999999994</v>
      </c>
      <c r="AY24">
        <v>12.6</v>
      </c>
      <c r="AZ24">
        <v>130.6</v>
      </c>
      <c r="BA24">
        <v>323502.09999999998</v>
      </c>
      <c r="BB24">
        <v>9.08</v>
      </c>
      <c r="BC24">
        <v>13.9</v>
      </c>
      <c r="BD24">
        <v>62.2</v>
      </c>
      <c r="BE24">
        <v>86.2</v>
      </c>
      <c r="BF24">
        <v>12.1</v>
      </c>
      <c r="BG24">
        <v>49.4</v>
      </c>
      <c r="BH24">
        <v>447439.8</v>
      </c>
      <c r="BI24">
        <v>6.29</v>
      </c>
      <c r="BJ24">
        <v>14.1</v>
      </c>
      <c r="BK24">
        <v>90.9</v>
      </c>
      <c r="BL24">
        <v>79.8</v>
      </c>
      <c r="BM24">
        <v>13.5</v>
      </c>
      <c r="BN24">
        <v>17.8</v>
      </c>
      <c r="BO24">
        <v>623526</v>
      </c>
      <c r="BP24">
        <v>6.82</v>
      </c>
      <c r="BQ24">
        <v>18.5</v>
      </c>
      <c r="BR24">
        <v>148.4</v>
      </c>
      <c r="BS24">
        <v>70.099999999999994</v>
      </c>
      <c r="BT24">
        <v>15.1</v>
      </c>
      <c r="BU24">
        <v>56.6</v>
      </c>
      <c r="BV24">
        <v>721402.3</v>
      </c>
      <c r="BW24">
        <v>8.06</v>
      </c>
      <c r="BX24">
        <v>21.4</v>
      </c>
      <c r="BY24">
        <v>177.6</v>
      </c>
      <c r="BZ24">
        <v>66.599999999999994</v>
      </c>
      <c r="CA24">
        <v>19.8</v>
      </c>
      <c r="CB24">
        <v>18.600000000000001</v>
      </c>
      <c r="CC24">
        <v>892754.5</v>
      </c>
      <c r="CD24">
        <v>9.08</v>
      </c>
      <c r="CE24">
        <v>28.8</v>
      </c>
      <c r="CF24">
        <v>247.3</v>
      </c>
      <c r="CG24">
        <v>50.2</v>
      </c>
      <c r="CH24">
        <v>25</v>
      </c>
      <c r="CI24">
        <v>0.6</v>
      </c>
      <c r="CJ24">
        <v>1006295.9</v>
      </c>
      <c r="CK24">
        <v>11.22</v>
      </c>
      <c r="CL24">
        <v>36.1</v>
      </c>
      <c r="CM24">
        <v>328.6</v>
      </c>
      <c r="CN24">
        <v>46.8</v>
      </c>
      <c r="CP24" s="2">
        <v>201.19636589166666</v>
      </c>
      <c r="CQ24" s="2">
        <v>333.51709289829085</v>
      </c>
      <c r="CR24" s="2">
        <v>284.27702022868755</v>
      </c>
      <c r="CS24" s="2">
        <v>216.31792831941917</v>
      </c>
      <c r="CT24" s="2">
        <v>220.93775683681835</v>
      </c>
      <c r="CU24" s="9">
        <v>0.06</v>
      </c>
      <c r="CV24" s="9">
        <v>0.14000000000000001</v>
      </c>
      <c r="CW24" s="9">
        <v>7.0000000000000007E-2</v>
      </c>
      <c r="CX24" s="9">
        <v>0.04</v>
      </c>
      <c r="CY24" s="2">
        <f t="shared" si="2"/>
        <v>83.789573661745791</v>
      </c>
      <c r="CZ24">
        <v>1906</v>
      </c>
      <c r="DA24">
        <v>791</v>
      </c>
      <c r="DB24">
        <v>672130</v>
      </c>
      <c r="DC24">
        <v>1780</v>
      </c>
      <c r="DE24" t="s">
        <v>147</v>
      </c>
      <c r="DF24">
        <v>854172</v>
      </c>
      <c r="DG24">
        <v>414790</v>
      </c>
      <c r="DH24">
        <v>259</v>
      </c>
      <c r="DI24" s="4">
        <v>2.0592878323971164</v>
      </c>
      <c r="DJ24" s="4">
        <v>1.7303050314592812</v>
      </c>
      <c r="DK24" s="6">
        <v>3297.9613899613901</v>
      </c>
      <c r="DL24" s="4">
        <v>2.0246596605635796</v>
      </c>
      <c r="DM24" s="6">
        <v>1601.5057915057914</v>
      </c>
    </row>
    <row r="25" spans="1:117" x14ac:dyDescent="0.25">
      <c r="A25" t="s">
        <v>107</v>
      </c>
      <c r="B25" t="s">
        <v>125</v>
      </c>
      <c r="C25">
        <v>116.00015</v>
      </c>
      <c r="D25">
        <v>-30.659594999999999</v>
      </c>
      <c r="E25">
        <v>2022</v>
      </c>
      <c r="F25" t="s">
        <v>125</v>
      </c>
      <c r="G25" t="s">
        <v>139</v>
      </c>
      <c r="H25" t="s">
        <v>142</v>
      </c>
      <c r="I25">
        <v>26.8</v>
      </c>
      <c r="J25">
        <v>0</v>
      </c>
      <c r="K25">
        <v>1024269.6</v>
      </c>
      <c r="L25">
        <v>11.11</v>
      </c>
      <c r="M25">
        <v>38.6</v>
      </c>
      <c r="N25">
        <v>346</v>
      </c>
      <c r="O25">
        <v>43.2</v>
      </c>
      <c r="P25">
        <v>26.9</v>
      </c>
      <c r="Q25">
        <v>2.4</v>
      </c>
      <c r="R25">
        <v>821881.4</v>
      </c>
      <c r="S25">
        <v>10.18</v>
      </c>
      <c r="T25">
        <v>37.1</v>
      </c>
      <c r="U25">
        <v>283.10000000000002</v>
      </c>
      <c r="V25">
        <v>43.7</v>
      </c>
      <c r="W25">
        <v>23.5</v>
      </c>
      <c r="X25">
        <v>87.8</v>
      </c>
      <c r="Y25">
        <v>674620.7</v>
      </c>
      <c r="Z25">
        <v>9.92</v>
      </c>
      <c r="AA25">
        <v>30.9</v>
      </c>
      <c r="AB25">
        <v>220.3</v>
      </c>
      <c r="AC25">
        <v>55.6</v>
      </c>
      <c r="AD25">
        <v>18.399999999999999</v>
      </c>
      <c r="AE25">
        <v>98.6</v>
      </c>
      <c r="AF25">
        <v>503154.3</v>
      </c>
      <c r="AG25">
        <v>7.18</v>
      </c>
      <c r="AH25">
        <v>21.4</v>
      </c>
      <c r="AI25">
        <v>134.6</v>
      </c>
      <c r="AJ25">
        <v>69</v>
      </c>
      <c r="AK25">
        <v>14.6</v>
      </c>
      <c r="AL25">
        <v>39</v>
      </c>
      <c r="AM25">
        <v>394232.6</v>
      </c>
      <c r="AN25">
        <v>6.07</v>
      </c>
      <c r="AO25">
        <v>16.2</v>
      </c>
      <c r="AP25">
        <v>92.1</v>
      </c>
      <c r="AQ25">
        <v>77.599999999999994</v>
      </c>
      <c r="AR25">
        <v>12.6</v>
      </c>
      <c r="AS25">
        <v>55.2</v>
      </c>
      <c r="AT25">
        <v>326267.7</v>
      </c>
      <c r="AU25">
        <v>6.31</v>
      </c>
      <c r="AV25">
        <v>13.8</v>
      </c>
      <c r="AW25">
        <v>63</v>
      </c>
      <c r="AX25">
        <v>85.3</v>
      </c>
      <c r="AY25">
        <v>11.5</v>
      </c>
      <c r="AZ25">
        <v>65.2</v>
      </c>
      <c r="BA25">
        <v>372395.6</v>
      </c>
      <c r="BB25">
        <v>5.48</v>
      </c>
      <c r="BC25">
        <v>12.8</v>
      </c>
      <c r="BD25">
        <v>74.599999999999994</v>
      </c>
      <c r="BE25">
        <v>83.8</v>
      </c>
      <c r="BF25">
        <v>11</v>
      </c>
      <c r="BG25">
        <v>150.19999999999999</v>
      </c>
      <c r="BH25">
        <v>458164.3</v>
      </c>
      <c r="BI25">
        <v>6.92</v>
      </c>
      <c r="BJ25">
        <v>13</v>
      </c>
      <c r="BK25">
        <v>86.2</v>
      </c>
      <c r="BL25">
        <v>86.1</v>
      </c>
      <c r="BM25">
        <v>13.2</v>
      </c>
      <c r="BN25">
        <v>61</v>
      </c>
      <c r="BO25">
        <v>551863.5</v>
      </c>
      <c r="BP25">
        <v>5.93</v>
      </c>
      <c r="BQ25">
        <v>15.9</v>
      </c>
      <c r="BR25">
        <v>118.7</v>
      </c>
      <c r="BS25">
        <v>81.8</v>
      </c>
      <c r="BT25">
        <v>14.7</v>
      </c>
      <c r="BU25">
        <v>13.8</v>
      </c>
      <c r="BV25">
        <v>759952.9</v>
      </c>
      <c r="BW25">
        <v>7.53</v>
      </c>
      <c r="BX25">
        <v>21.7</v>
      </c>
      <c r="BY25">
        <v>187.4</v>
      </c>
      <c r="BZ25">
        <v>71</v>
      </c>
      <c r="CA25">
        <v>19</v>
      </c>
      <c r="CB25">
        <v>8</v>
      </c>
      <c r="CC25">
        <v>876641.2</v>
      </c>
      <c r="CD25">
        <v>9.23</v>
      </c>
      <c r="CE25">
        <v>27.6</v>
      </c>
      <c r="CF25">
        <v>246.8</v>
      </c>
      <c r="CG25">
        <v>59.3</v>
      </c>
      <c r="CH25">
        <v>23.6</v>
      </c>
      <c r="CI25">
        <v>0</v>
      </c>
      <c r="CJ25">
        <v>1013169.3</v>
      </c>
      <c r="CK25">
        <v>10.57</v>
      </c>
      <c r="CL25">
        <v>34.5</v>
      </c>
      <c r="CM25">
        <v>319.3</v>
      </c>
      <c r="CN25">
        <v>47.4</v>
      </c>
      <c r="CP25" s="2">
        <v>289.67373585000001</v>
      </c>
      <c r="CQ25" s="2">
        <v>542.29644206599164</v>
      </c>
      <c r="CR25" s="2">
        <v>496.38748434885002</v>
      </c>
      <c r="CS25" s="2">
        <v>518.45774085826167</v>
      </c>
      <c r="CT25" s="2">
        <v>633.48375672743168</v>
      </c>
      <c r="CU25" s="9">
        <v>0.06</v>
      </c>
      <c r="CV25" s="9">
        <v>0.14000000000000001</v>
      </c>
      <c r="CW25" s="9">
        <v>7.0000000000000007E-2</v>
      </c>
      <c r="CX25" s="9">
        <v>0.04</v>
      </c>
      <c r="CY25" s="2">
        <f t="shared" si="2"/>
        <v>163.6634264619741</v>
      </c>
      <c r="CZ25">
        <v>2575</v>
      </c>
      <c r="DA25">
        <v>794</v>
      </c>
      <c r="DB25">
        <v>817540</v>
      </c>
      <c r="DC25">
        <v>2395</v>
      </c>
      <c r="DE25" t="s">
        <v>147</v>
      </c>
      <c r="DK25" s="5">
        <f>+DJ24*CZ25</f>
        <v>4455.5354560076494</v>
      </c>
      <c r="DM25" s="5">
        <f>+DL24*DA25</f>
        <v>1607.5797704874822</v>
      </c>
    </row>
    <row r="26" spans="1:117" x14ac:dyDescent="0.25">
      <c r="A26" t="s">
        <v>108</v>
      </c>
      <c r="B26" t="s">
        <v>126</v>
      </c>
      <c r="C26">
        <v>115.997377</v>
      </c>
      <c r="D26">
        <v>-29.220352999999999</v>
      </c>
      <c r="E26">
        <v>2021</v>
      </c>
      <c r="F26" t="s">
        <v>126</v>
      </c>
      <c r="G26" t="s">
        <v>141</v>
      </c>
      <c r="H26" t="s">
        <v>144</v>
      </c>
      <c r="I26">
        <v>28.1</v>
      </c>
      <c r="J26">
        <v>0</v>
      </c>
      <c r="K26">
        <v>945769.9</v>
      </c>
      <c r="L26">
        <v>18.760000000000002</v>
      </c>
      <c r="M26">
        <v>36.4</v>
      </c>
      <c r="N26">
        <v>388</v>
      </c>
      <c r="O26">
        <v>34.4</v>
      </c>
      <c r="P26">
        <v>25.5</v>
      </c>
      <c r="Q26">
        <v>36</v>
      </c>
      <c r="R26">
        <v>702836.2</v>
      </c>
      <c r="S26">
        <v>16.89</v>
      </c>
      <c r="T26">
        <v>30.5</v>
      </c>
      <c r="U26">
        <v>272.10000000000002</v>
      </c>
      <c r="V26">
        <v>44</v>
      </c>
      <c r="W26">
        <v>25.9</v>
      </c>
      <c r="X26">
        <v>34.799999999999997</v>
      </c>
      <c r="Y26">
        <v>748845.6</v>
      </c>
      <c r="Z26">
        <v>12.39</v>
      </c>
      <c r="AA26">
        <v>30.9</v>
      </c>
      <c r="AB26">
        <v>274.10000000000002</v>
      </c>
      <c r="AC26">
        <v>44</v>
      </c>
      <c r="AD26">
        <v>22.2</v>
      </c>
      <c r="AE26">
        <v>60.6</v>
      </c>
      <c r="AF26">
        <v>525304.5</v>
      </c>
      <c r="AG26">
        <v>13.17</v>
      </c>
      <c r="AH26">
        <v>24.9</v>
      </c>
      <c r="AI26">
        <v>203.8</v>
      </c>
      <c r="AJ26">
        <v>47.5</v>
      </c>
      <c r="AK26">
        <v>17.399999999999999</v>
      </c>
      <c r="AL26">
        <v>64.2</v>
      </c>
      <c r="AM26">
        <v>410273.5</v>
      </c>
      <c r="AN26">
        <v>10.82</v>
      </c>
      <c r="AO26">
        <v>18.8</v>
      </c>
      <c r="AP26">
        <v>131</v>
      </c>
      <c r="AQ26">
        <v>62.3</v>
      </c>
      <c r="AR26">
        <v>12.3</v>
      </c>
      <c r="AS26">
        <v>39.799999999999997</v>
      </c>
      <c r="AT26">
        <v>384654.6</v>
      </c>
      <c r="AU26">
        <v>10</v>
      </c>
      <c r="AV26">
        <v>13.1</v>
      </c>
      <c r="AW26">
        <v>84.1</v>
      </c>
      <c r="AX26">
        <v>76.900000000000006</v>
      </c>
      <c r="AY26">
        <v>12.8</v>
      </c>
      <c r="AZ26">
        <v>65</v>
      </c>
      <c r="BA26">
        <v>361225.2</v>
      </c>
      <c r="BB26">
        <v>11</v>
      </c>
      <c r="BC26">
        <v>13.7</v>
      </c>
      <c r="BD26">
        <v>72.400000000000006</v>
      </c>
      <c r="BE26">
        <v>85.6</v>
      </c>
      <c r="BF26">
        <v>12.9</v>
      </c>
      <c r="BG26">
        <v>16</v>
      </c>
      <c r="BH26">
        <v>533640.19999999995</v>
      </c>
      <c r="BI26">
        <v>9.59</v>
      </c>
      <c r="BJ26">
        <v>15.1</v>
      </c>
      <c r="BK26">
        <v>124.6</v>
      </c>
      <c r="BL26">
        <v>73.3</v>
      </c>
      <c r="BM26">
        <v>15.5</v>
      </c>
      <c r="BN26">
        <v>11</v>
      </c>
      <c r="BO26">
        <v>678497.5</v>
      </c>
      <c r="BP26">
        <v>11</v>
      </c>
      <c r="BQ26">
        <v>19.899999999999999</v>
      </c>
      <c r="BR26">
        <v>190.9</v>
      </c>
      <c r="BS26">
        <v>58.5</v>
      </c>
      <c r="BT26">
        <v>16.7</v>
      </c>
      <c r="BU26">
        <v>47.2</v>
      </c>
      <c r="BV26">
        <v>781604.4</v>
      </c>
      <c r="BW26">
        <v>12.74</v>
      </c>
      <c r="BX26">
        <v>23.3</v>
      </c>
      <c r="BY26">
        <v>222.1</v>
      </c>
      <c r="BZ26">
        <v>57.9</v>
      </c>
      <c r="CA26">
        <v>21.5</v>
      </c>
      <c r="CB26">
        <v>23</v>
      </c>
      <c r="CC26">
        <v>934866.9</v>
      </c>
      <c r="CD26">
        <v>13.56</v>
      </c>
      <c r="CE26">
        <v>29</v>
      </c>
      <c r="CF26">
        <v>303.8</v>
      </c>
      <c r="CG26">
        <v>45.3</v>
      </c>
      <c r="CH26">
        <v>27</v>
      </c>
      <c r="CI26">
        <v>0</v>
      </c>
      <c r="CJ26">
        <v>1029230.1</v>
      </c>
      <c r="CK26">
        <v>16.399999999999999</v>
      </c>
      <c r="CL26">
        <v>35.1</v>
      </c>
      <c r="CM26">
        <v>390.7</v>
      </c>
      <c r="CN26">
        <v>36.4</v>
      </c>
      <c r="CP26" s="2">
        <v>201.19636589166666</v>
      </c>
      <c r="CQ26" s="2">
        <v>333.51709289829085</v>
      </c>
      <c r="CR26" s="2">
        <v>284.27702022868755</v>
      </c>
      <c r="CS26" s="2">
        <v>216.31792831941917</v>
      </c>
      <c r="CT26" s="2">
        <v>220.93775683681835</v>
      </c>
      <c r="CU26" s="9">
        <v>0.06</v>
      </c>
      <c r="CV26" s="9">
        <v>0.14000000000000001</v>
      </c>
      <c r="CW26" s="9">
        <v>7.0000000000000007E-2</v>
      </c>
      <c r="CX26" s="9">
        <v>0.04</v>
      </c>
      <c r="CY26" s="2">
        <f t="shared" ref="CY26:CY39" si="4">+CQ26*CU26+CR26*CV26+CS26*CW26+CT26*CX26</f>
        <v>83.789573661745791</v>
      </c>
      <c r="CZ26">
        <v>2084</v>
      </c>
      <c r="DA26">
        <v>1442</v>
      </c>
      <c r="DB26">
        <v>630080</v>
      </c>
      <c r="DC26">
        <v>1947</v>
      </c>
      <c r="DE26" t="s">
        <v>147</v>
      </c>
      <c r="DF26" s="7">
        <v>554344</v>
      </c>
      <c r="DG26" s="7">
        <v>383572</v>
      </c>
      <c r="DH26">
        <v>266</v>
      </c>
      <c r="DI26" s="4">
        <v>1.4452149791955617</v>
      </c>
      <c r="DJ26" s="4">
        <v>1</v>
      </c>
      <c r="DK26" s="6">
        <v>2084</v>
      </c>
      <c r="DL26" s="4">
        <v>1</v>
      </c>
      <c r="DM26" s="6">
        <v>1442</v>
      </c>
    </row>
    <row r="27" spans="1:117" x14ac:dyDescent="0.25">
      <c r="A27" t="s">
        <v>108</v>
      </c>
      <c r="B27" t="s">
        <v>126</v>
      </c>
      <c r="C27">
        <v>115.997377</v>
      </c>
      <c r="D27">
        <v>-29.220352999999999</v>
      </c>
      <c r="E27">
        <v>2022</v>
      </c>
      <c r="F27" t="s">
        <v>126</v>
      </c>
      <c r="G27" t="s">
        <v>141</v>
      </c>
      <c r="H27" t="s">
        <v>144</v>
      </c>
      <c r="I27">
        <v>29.2</v>
      </c>
      <c r="J27">
        <v>9.6</v>
      </c>
      <c r="K27">
        <v>1031669.2</v>
      </c>
      <c r="L27">
        <v>16.98</v>
      </c>
      <c r="M27">
        <v>37.1</v>
      </c>
      <c r="N27">
        <v>412</v>
      </c>
      <c r="O27">
        <v>33</v>
      </c>
      <c r="P27">
        <v>29</v>
      </c>
      <c r="Q27">
        <v>4.8</v>
      </c>
      <c r="R27">
        <v>838842.9</v>
      </c>
      <c r="S27">
        <v>15.05</v>
      </c>
      <c r="T27">
        <v>36.700000000000003</v>
      </c>
      <c r="U27">
        <v>335.4</v>
      </c>
      <c r="V27">
        <v>35</v>
      </c>
      <c r="W27">
        <v>25</v>
      </c>
      <c r="X27">
        <v>68.2</v>
      </c>
      <c r="Y27">
        <v>728118.5</v>
      </c>
      <c r="Z27">
        <v>15.1</v>
      </c>
      <c r="AA27">
        <v>31.1</v>
      </c>
      <c r="AB27">
        <v>276.8</v>
      </c>
      <c r="AC27">
        <v>48.7</v>
      </c>
      <c r="AD27">
        <v>19.7</v>
      </c>
      <c r="AE27">
        <v>23.8</v>
      </c>
      <c r="AF27">
        <v>542991.5</v>
      </c>
      <c r="AG27">
        <v>12.31</v>
      </c>
      <c r="AH27">
        <v>22.6</v>
      </c>
      <c r="AI27">
        <v>169</v>
      </c>
      <c r="AJ27">
        <v>60.3</v>
      </c>
      <c r="AK27">
        <v>16.399999999999999</v>
      </c>
      <c r="AL27">
        <v>26.6</v>
      </c>
      <c r="AM27">
        <v>437482.6</v>
      </c>
      <c r="AN27">
        <v>10.199999999999999</v>
      </c>
      <c r="AO27">
        <v>18.600000000000001</v>
      </c>
      <c r="AP27">
        <v>129.6</v>
      </c>
      <c r="AQ27">
        <v>63.2</v>
      </c>
      <c r="AR27">
        <v>14.3</v>
      </c>
      <c r="AS27">
        <v>44.2</v>
      </c>
      <c r="AT27">
        <v>370446.1</v>
      </c>
      <c r="AU27">
        <v>9.9</v>
      </c>
      <c r="AV27">
        <v>15.8</v>
      </c>
      <c r="AW27">
        <v>95.5</v>
      </c>
      <c r="AX27">
        <v>73</v>
      </c>
      <c r="AY27">
        <v>13</v>
      </c>
      <c r="AZ27">
        <v>49.8</v>
      </c>
      <c r="BA27">
        <v>383313.9</v>
      </c>
      <c r="BB27">
        <v>7.84</v>
      </c>
      <c r="BC27">
        <v>14.3</v>
      </c>
      <c r="BD27">
        <v>94.5</v>
      </c>
      <c r="BE27">
        <v>69.8</v>
      </c>
      <c r="BF27">
        <v>12.4</v>
      </c>
      <c r="BG27">
        <v>125.2</v>
      </c>
      <c r="BH27">
        <v>510086.7</v>
      </c>
      <c r="BI27">
        <v>10.46</v>
      </c>
      <c r="BJ27">
        <v>14.6</v>
      </c>
      <c r="BK27">
        <v>114.1</v>
      </c>
      <c r="BL27">
        <v>76.3</v>
      </c>
      <c r="BM27">
        <v>14.5</v>
      </c>
      <c r="BN27">
        <v>53.2</v>
      </c>
      <c r="BO27">
        <v>571492.5</v>
      </c>
      <c r="BP27">
        <v>9.56</v>
      </c>
      <c r="BQ27">
        <v>17.2</v>
      </c>
      <c r="BR27">
        <v>140.1</v>
      </c>
      <c r="BS27">
        <v>72.599999999999994</v>
      </c>
      <c r="BT27">
        <v>16.8</v>
      </c>
      <c r="BU27">
        <v>6.2</v>
      </c>
      <c r="BV27">
        <v>808408.1</v>
      </c>
      <c r="BW27">
        <v>12.88</v>
      </c>
      <c r="BX27">
        <v>23.1</v>
      </c>
      <c r="BY27">
        <v>233.2</v>
      </c>
      <c r="BZ27">
        <v>55.4</v>
      </c>
      <c r="CA27">
        <v>20.8</v>
      </c>
      <c r="CB27">
        <v>3.4</v>
      </c>
      <c r="CC27">
        <v>899239.6</v>
      </c>
      <c r="CD27">
        <v>14.49</v>
      </c>
      <c r="CE27">
        <v>28.2</v>
      </c>
      <c r="CF27">
        <v>292.39999999999998</v>
      </c>
      <c r="CG27">
        <v>45.2</v>
      </c>
      <c r="CH27">
        <v>25.7</v>
      </c>
      <c r="CI27">
        <v>0</v>
      </c>
      <c r="CJ27">
        <v>1022360.1</v>
      </c>
      <c r="CK27">
        <v>15.77</v>
      </c>
      <c r="CL27">
        <v>34.299999999999997</v>
      </c>
      <c r="CM27">
        <v>378</v>
      </c>
      <c r="CN27">
        <v>35.700000000000003</v>
      </c>
      <c r="CP27" s="2">
        <v>289.67373585000001</v>
      </c>
      <c r="CQ27" s="2">
        <v>542.29644206599164</v>
      </c>
      <c r="CR27" s="2">
        <v>496.38748434885002</v>
      </c>
      <c r="CS27" s="2">
        <v>518.45774085826167</v>
      </c>
      <c r="CT27" s="2">
        <v>633.48375672743168</v>
      </c>
      <c r="CU27" s="9">
        <v>0.06</v>
      </c>
      <c r="CV27" s="9">
        <v>0.14000000000000001</v>
      </c>
      <c r="CW27" s="9">
        <v>7.0000000000000007E-2</v>
      </c>
      <c r="CX27" s="9">
        <v>0.04</v>
      </c>
      <c r="CY27" s="2">
        <f t="shared" si="4"/>
        <v>163.6634264619741</v>
      </c>
      <c r="CZ27">
        <v>3283</v>
      </c>
      <c r="DA27">
        <v>1633</v>
      </c>
      <c r="DB27">
        <v>1057730</v>
      </c>
      <c r="DC27">
        <v>3165</v>
      </c>
      <c r="DE27" t="s">
        <v>147</v>
      </c>
      <c r="DK27" s="5">
        <f>+DJ26*CZ27</f>
        <v>3283</v>
      </c>
      <c r="DM27" s="5">
        <f>+DL26*DA27</f>
        <v>1633</v>
      </c>
    </row>
    <row r="28" spans="1:117" x14ac:dyDescent="0.25">
      <c r="A28" t="s">
        <v>109</v>
      </c>
      <c r="B28" t="s">
        <v>127</v>
      </c>
      <c r="C28">
        <v>118.25060000000001</v>
      </c>
      <c r="D28">
        <v>-30.918700000000001</v>
      </c>
      <c r="E28">
        <v>2021</v>
      </c>
      <c r="F28" t="s">
        <v>127</v>
      </c>
      <c r="G28" t="s">
        <v>141</v>
      </c>
      <c r="H28" t="s">
        <v>144</v>
      </c>
      <c r="I28">
        <v>26.9</v>
      </c>
      <c r="J28">
        <v>0.8</v>
      </c>
      <c r="K28">
        <v>951478.5</v>
      </c>
      <c r="L28">
        <v>13.83</v>
      </c>
      <c r="N28">
        <v>357.6</v>
      </c>
      <c r="O28">
        <v>29.8</v>
      </c>
      <c r="P28">
        <v>24.6</v>
      </c>
      <c r="Q28">
        <v>42</v>
      </c>
      <c r="R28">
        <v>731954.5</v>
      </c>
      <c r="S28">
        <v>11.38</v>
      </c>
      <c r="U28">
        <v>256.60000000000002</v>
      </c>
      <c r="V28">
        <v>40.200000000000003</v>
      </c>
      <c r="W28">
        <v>24</v>
      </c>
      <c r="X28">
        <v>78</v>
      </c>
      <c r="Y28">
        <v>697873.2</v>
      </c>
      <c r="Z28">
        <v>9.24</v>
      </c>
      <c r="AB28">
        <v>237.1</v>
      </c>
      <c r="AC28">
        <v>44.6</v>
      </c>
      <c r="AD28">
        <v>20.8</v>
      </c>
      <c r="AE28">
        <v>36.700000000000003</v>
      </c>
      <c r="AF28">
        <v>515834.9</v>
      </c>
      <c r="AG28">
        <v>8.02</v>
      </c>
      <c r="AI28">
        <v>173.4</v>
      </c>
      <c r="AJ28">
        <v>47.1</v>
      </c>
      <c r="AK28">
        <v>15.3</v>
      </c>
      <c r="AL28">
        <v>84.8</v>
      </c>
      <c r="AM28">
        <v>382496.3</v>
      </c>
      <c r="AN28">
        <v>7.59</v>
      </c>
      <c r="AP28">
        <v>106.5</v>
      </c>
      <c r="AQ28">
        <v>65.8</v>
      </c>
      <c r="AR28">
        <v>10.3</v>
      </c>
      <c r="AS28">
        <v>17.8</v>
      </c>
      <c r="AT28">
        <v>312145.59999999998</v>
      </c>
      <c r="AU28">
        <v>6.66</v>
      </c>
      <c r="AW28">
        <v>64.5</v>
      </c>
      <c r="AX28">
        <v>78.099999999999994</v>
      </c>
      <c r="AY28">
        <v>11.6</v>
      </c>
      <c r="AZ28">
        <v>50.6</v>
      </c>
      <c r="BA28">
        <v>324566.09999999998</v>
      </c>
      <c r="BB28">
        <v>9.11</v>
      </c>
      <c r="BD28">
        <v>65.400000000000006</v>
      </c>
      <c r="BE28">
        <v>81.900000000000006</v>
      </c>
      <c r="BF28">
        <v>11.5</v>
      </c>
      <c r="BG28">
        <v>12.8</v>
      </c>
      <c r="BH28">
        <v>475083.2</v>
      </c>
      <c r="BI28">
        <v>6.61</v>
      </c>
      <c r="BK28">
        <v>106.6</v>
      </c>
      <c r="BL28">
        <v>70.099999999999994</v>
      </c>
      <c r="BM28">
        <v>13.1</v>
      </c>
      <c r="BN28">
        <v>3.6</v>
      </c>
      <c r="BO28">
        <v>501386.2</v>
      </c>
      <c r="BP28">
        <v>7.45</v>
      </c>
      <c r="BR28">
        <v>136.69999999999999</v>
      </c>
      <c r="BS28">
        <v>52.9</v>
      </c>
      <c r="BT28">
        <v>16.600000000000001</v>
      </c>
      <c r="BU28">
        <v>15.2</v>
      </c>
      <c r="BV28">
        <v>665712.69999999995</v>
      </c>
      <c r="BW28">
        <v>8.7799999999999994</v>
      </c>
      <c r="BY28">
        <v>178.9</v>
      </c>
      <c r="BZ28">
        <v>47.9</v>
      </c>
      <c r="CA28">
        <v>20.9</v>
      </c>
      <c r="CB28">
        <v>13</v>
      </c>
      <c r="CC28">
        <v>882271.7</v>
      </c>
      <c r="CD28">
        <v>9.75</v>
      </c>
      <c r="CF28">
        <v>275.10000000000002</v>
      </c>
      <c r="CG28">
        <v>39.799999999999997</v>
      </c>
      <c r="CH28">
        <v>26.4</v>
      </c>
      <c r="CI28">
        <v>0</v>
      </c>
      <c r="CJ28">
        <v>1002356.2</v>
      </c>
      <c r="CK28">
        <v>10.83</v>
      </c>
      <c r="CM28">
        <v>349.1</v>
      </c>
      <c r="CN28">
        <v>30.3</v>
      </c>
      <c r="CP28" s="2">
        <v>201.19636589166666</v>
      </c>
      <c r="CQ28" s="2">
        <v>333.51709289829085</v>
      </c>
      <c r="CR28" s="2">
        <v>284.27702022868755</v>
      </c>
      <c r="CS28" s="2">
        <v>216.31792831941917</v>
      </c>
      <c r="CT28" s="2">
        <v>220.93775683681835</v>
      </c>
      <c r="CU28" s="9">
        <v>0.06</v>
      </c>
      <c r="CV28" s="9">
        <v>0.14000000000000001</v>
      </c>
      <c r="CW28" s="9">
        <v>7.0000000000000007E-2</v>
      </c>
      <c r="CX28" s="9">
        <v>0.04</v>
      </c>
      <c r="CY28" s="2">
        <f t="shared" si="4"/>
        <v>83.789573661745791</v>
      </c>
      <c r="CZ28">
        <v>2084</v>
      </c>
      <c r="DA28">
        <v>1442</v>
      </c>
      <c r="DB28">
        <v>630080</v>
      </c>
      <c r="DC28">
        <v>1947</v>
      </c>
      <c r="DE28" t="s">
        <v>147</v>
      </c>
      <c r="DF28">
        <v>811612</v>
      </c>
      <c r="DG28">
        <v>589125</v>
      </c>
      <c r="DH28">
        <v>254</v>
      </c>
      <c r="DI28" s="4">
        <v>1.3776566942499469</v>
      </c>
      <c r="DJ28" s="4">
        <v>1.5332643160487858</v>
      </c>
      <c r="DK28" s="6">
        <v>3195.3228346456694</v>
      </c>
      <c r="DL28" s="4">
        <v>1.608453372940033</v>
      </c>
      <c r="DM28" s="6">
        <v>2319.3897637795276</v>
      </c>
    </row>
    <row r="29" spans="1:117" x14ac:dyDescent="0.25">
      <c r="A29" t="s">
        <v>109</v>
      </c>
      <c r="B29" t="s">
        <v>127</v>
      </c>
      <c r="C29">
        <v>118.25060000000001</v>
      </c>
      <c r="D29">
        <v>-30.918700000000001</v>
      </c>
      <c r="E29">
        <v>2022</v>
      </c>
      <c r="F29" t="s">
        <v>127</v>
      </c>
      <c r="G29" t="s">
        <v>141</v>
      </c>
      <c r="H29" t="s">
        <v>144</v>
      </c>
      <c r="I29">
        <v>28.3</v>
      </c>
      <c r="J29">
        <v>0</v>
      </c>
      <c r="K29">
        <v>1020077</v>
      </c>
      <c r="L29">
        <v>11.83</v>
      </c>
      <c r="N29">
        <v>373.2</v>
      </c>
      <c r="O29">
        <v>29.7</v>
      </c>
      <c r="P29">
        <v>27.9</v>
      </c>
      <c r="Q29">
        <v>29</v>
      </c>
      <c r="R29">
        <v>805965.6</v>
      </c>
      <c r="S29">
        <v>10.93</v>
      </c>
      <c r="U29">
        <v>297.2</v>
      </c>
      <c r="V29">
        <v>33.299999999999997</v>
      </c>
      <c r="W29">
        <v>23.8</v>
      </c>
      <c r="X29">
        <v>42.8</v>
      </c>
      <c r="Y29">
        <v>695548.4</v>
      </c>
      <c r="Z29">
        <v>10.77</v>
      </c>
      <c r="AB29">
        <v>243.5</v>
      </c>
      <c r="AC29">
        <v>46.3</v>
      </c>
      <c r="AD29">
        <v>18.100000000000001</v>
      </c>
      <c r="AE29">
        <v>39.4</v>
      </c>
      <c r="AF29">
        <v>516021.7</v>
      </c>
      <c r="AG29">
        <v>7.78</v>
      </c>
      <c r="AI29">
        <v>144.80000000000001</v>
      </c>
      <c r="AJ29">
        <v>61.3</v>
      </c>
      <c r="AK29">
        <v>14.7</v>
      </c>
      <c r="AL29">
        <v>28.6</v>
      </c>
      <c r="AM29">
        <v>407572.8</v>
      </c>
      <c r="AN29">
        <v>6.76</v>
      </c>
      <c r="AP29">
        <v>111.2</v>
      </c>
      <c r="AQ29">
        <v>61.9</v>
      </c>
      <c r="AR29">
        <v>12</v>
      </c>
      <c r="AS29">
        <v>39</v>
      </c>
      <c r="AT29">
        <v>340355.2</v>
      </c>
      <c r="AU29">
        <v>6.92</v>
      </c>
      <c r="AW29">
        <v>74.599999999999994</v>
      </c>
      <c r="AX29">
        <v>75.900000000000006</v>
      </c>
      <c r="AY29">
        <v>10.7</v>
      </c>
      <c r="AZ29">
        <v>30.6</v>
      </c>
      <c r="BA29">
        <v>374033.7</v>
      </c>
      <c r="BB29">
        <v>6.35</v>
      </c>
      <c r="BD29">
        <v>86</v>
      </c>
      <c r="BE29">
        <v>71.3</v>
      </c>
      <c r="BF29">
        <v>10.6</v>
      </c>
      <c r="BG29">
        <v>73.400000000000006</v>
      </c>
      <c r="BH29">
        <v>471185.1</v>
      </c>
      <c r="BI29">
        <v>7.77</v>
      </c>
      <c r="BK29">
        <v>97.5</v>
      </c>
      <c r="BL29">
        <v>74.8</v>
      </c>
      <c r="BM29">
        <v>13.7</v>
      </c>
      <c r="BN29">
        <v>24.2</v>
      </c>
      <c r="BO29">
        <v>554836.19999999995</v>
      </c>
      <c r="BP29">
        <v>7.71</v>
      </c>
      <c r="BR29">
        <v>137.4</v>
      </c>
      <c r="BS29">
        <v>64.900000000000006</v>
      </c>
      <c r="BT29">
        <v>15.8</v>
      </c>
      <c r="BU29">
        <v>29.6</v>
      </c>
      <c r="BV29">
        <v>760510.6</v>
      </c>
      <c r="BW29">
        <v>8.83</v>
      </c>
      <c r="BY29">
        <v>210.4</v>
      </c>
      <c r="BZ29">
        <v>50.7</v>
      </c>
      <c r="CA29">
        <v>20.2</v>
      </c>
      <c r="CB29">
        <v>15.4</v>
      </c>
      <c r="CC29">
        <v>854106.8</v>
      </c>
      <c r="CD29">
        <v>10.54</v>
      </c>
      <c r="CF29">
        <v>262.89999999999998</v>
      </c>
      <c r="CG29">
        <v>43.7</v>
      </c>
      <c r="CH29">
        <v>25</v>
      </c>
      <c r="CI29">
        <v>0</v>
      </c>
      <c r="CJ29">
        <v>1007105.1</v>
      </c>
      <c r="CK29">
        <v>10.87</v>
      </c>
      <c r="CM29">
        <v>339.9</v>
      </c>
      <c r="CN29">
        <v>32.4</v>
      </c>
      <c r="CP29" s="2">
        <v>289.67373585000001</v>
      </c>
      <c r="CQ29" s="2">
        <v>542.29644206599164</v>
      </c>
      <c r="CR29" s="2">
        <v>496.38748434885002</v>
      </c>
      <c r="CS29" s="2">
        <v>518.45774085826167</v>
      </c>
      <c r="CT29" s="2">
        <v>633.48375672743168</v>
      </c>
      <c r="CU29" s="9">
        <v>0.06</v>
      </c>
      <c r="CV29" s="9">
        <v>0.14000000000000001</v>
      </c>
      <c r="CW29" s="9">
        <v>7.0000000000000007E-2</v>
      </c>
      <c r="CX29" s="9">
        <v>0.04</v>
      </c>
      <c r="CY29" s="2">
        <f t="shared" si="4"/>
        <v>163.6634264619741</v>
      </c>
      <c r="CZ29">
        <v>3283</v>
      </c>
      <c r="DA29">
        <v>1633</v>
      </c>
      <c r="DB29">
        <v>1057730</v>
      </c>
      <c r="DC29">
        <v>3165</v>
      </c>
      <c r="DE29" t="s">
        <v>147</v>
      </c>
      <c r="DK29" s="5">
        <f>+DJ28*CZ29</f>
        <v>5033.7067495881638</v>
      </c>
      <c r="DM29" s="5">
        <f>+DL28*DA29</f>
        <v>2626.6043580110741</v>
      </c>
    </row>
    <row r="30" spans="1:117" x14ac:dyDescent="0.25">
      <c r="A30" t="s">
        <v>110</v>
      </c>
      <c r="B30" t="s">
        <v>128</v>
      </c>
      <c r="C30">
        <v>115.44614199999999</v>
      </c>
      <c r="D30">
        <v>-28.588141</v>
      </c>
      <c r="E30">
        <v>2021</v>
      </c>
      <c r="F30" t="s">
        <v>128</v>
      </c>
      <c r="G30" t="s">
        <v>141</v>
      </c>
      <c r="H30" t="s">
        <v>144</v>
      </c>
      <c r="I30">
        <v>28.5</v>
      </c>
      <c r="J30">
        <v>6.4</v>
      </c>
      <c r="K30">
        <v>943641</v>
      </c>
      <c r="L30">
        <v>13.42</v>
      </c>
      <c r="M30">
        <v>37.9</v>
      </c>
      <c r="N30">
        <v>354.3</v>
      </c>
      <c r="O30">
        <v>37.6</v>
      </c>
      <c r="P30">
        <v>25.6</v>
      </c>
      <c r="Q30">
        <v>30.6</v>
      </c>
      <c r="R30">
        <v>703361.3</v>
      </c>
      <c r="S30">
        <v>12.62</v>
      </c>
      <c r="T30">
        <v>32.700000000000003</v>
      </c>
      <c r="U30">
        <v>255.5</v>
      </c>
      <c r="V30">
        <v>46.6</v>
      </c>
      <c r="W30">
        <v>26</v>
      </c>
      <c r="X30">
        <v>55.4</v>
      </c>
      <c r="Y30">
        <v>754005.9</v>
      </c>
      <c r="Z30">
        <v>9.57</v>
      </c>
      <c r="AA30">
        <v>31.7</v>
      </c>
      <c r="AB30">
        <v>263</v>
      </c>
      <c r="AC30">
        <v>47.1</v>
      </c>
      <c r="AD30">
        <v>22.5</v>
      </c>
      <c r="AE30">
        <v>47</v>
      </c>
      <c r="AF30">
        <v>544943.30000000005</v>
      </c>
      <c r="AG30">
        <v>10.01</v>
      </c>
      <c r="AH30">
        <v>26.4</v>
      </c>
      <c r="AI30">
        <v>191.6</v>
      </c>
      <c r="AJ30">
        <v>49.3</v>
      </c>
      <c r="AK30">
        <v>17.899999999999999</v>
      </c>
      <c r="AL30">
        <v>74</v>
      </c>
      <c r="AM30">
        <v>409221.6</v>
      </c>
      <c r="AN30">
        <v>8.92</v>
      </c>
      <c r="AO30">
        <v>20</v>
      </c>
      <c r="AP30">
        <v>130.6</v>
      </c>
      <c r="AQ30">
        <v>61.3</v>
      </c>
      <c r="AR30">
        <v>12.5</v>
      </c>
      <c r="AS30">
        <v>46.2</v>
      </c>
      <c r="AT30">
        <v>379454.8</v>
      </c>
      <c r="AU30">
        <v>7.9</v>
      </c>
      <c r="AV30">
        <v>13.4</v>
      </c>
      <c r="AW30">
        <v>84.7</v>
      </c>
      <c r="AX30">
        <v>76.5</v>
      </c>
      <c r="AY30">
        <v>13.1</v>
      </c>
      <c r="AZ30">
        <v>100.8</v>
      </c>
      <c r="BA30">
        <v>350751.7</v>
      </c>
      <c r="BB30">
        <v>8.15</v>
      </c>
      <c r="BC30">
        <v>13.8</v>
      </c>
      <c r="BD30">
        <v>68.5</v>
      </c>
      <c r="BE30">
        <v>88.4</v>
      </c>
      <c r="BF30">
        <v>12.8</v>
      </c>
      <c r="BG30">
        <v>15.2</v>
      </c>
      <c r="BH30">
        <v>519682.8</v>
      </c>
      <c r="BI30">
        <v>6.86</v>
      </c>
      <c r="BJ30">
        <v>15.3</v>
      </c>
      <c r="BK30">
        <v>119.6</v>
      </c>
      <c r="BL30">
        <v>75.7</v>
      </c>
      <c r="BM30">
        <v>15.2</v>
      </c>
      <c r="BN30">
        <v>6.8</v>
      </c>
      <c r="BO30">
        <v>672742</v>
      </c>
      <c r="BP30">
        <v>7.37</v>
      </c>
      <c r="BQ30">
        <v>20.7</v>
      </c>
      <c r="BR30">
        <v>184.5</v>
      </c>
      <c r="BS30">
        <v>58</v>
      </c>
      <c r="BT30">
        <v>16.7</v>
      </c>
      <c r="BU30">
        <v>27.6</v>
      </c>
      <c r="BV30">
        <v>739556.9</v>
      </c>
      <c r="BW30">
        <v>8.11</v>
      </c>
      <c r="BX30">
        <v>23.5</v>
      </c>
      <c r="BY30">
        <v>203.6</v>
      </c>
      <c r="BZ30">
        <v>58.2</v>
      </c>
      <c r="CA30">
        <v>20.7</v>
      </c>
      <c r="CB30">
        <v>5.2</v>
      </c>
      <c r="CC30">
        <v>928642.5</v>
      </c>
      <c r="CD30">
        <v>8.75</v>
      </c>
      <c r="CE30">
        <v>30.2</v>
      </c>
      <c r="CF30">
        <v>280.2</v>
      </c>
      <c r="CG30">
        <v>49.5</v>
      </c>
      <c r="CH30">
        <v>26.4</v>
      </c>
      <c r="CI30">
        <v>0</v>
      </c>
      <c r="CJ30">
        <v>1022477.2</v>
      </c>
      <c r="CK30">
        <v>11.85</v>
      </c>
      <c r="CL30">
        <v>36.299999999999997</v>
      </c>
      <c r="CM30">
        <v>356.6</v>
      </c>
      <c r="CN30">
        <v>41.4</v>
      </c>
      <c r="CP30" s="2">
        <v>201.19636589166666</v>
      </c>
      <c r="CQ30" s="2">
        <v>333.51709289829085</v>
      </c>
      <c r="CR30" s="2">
        <v>284.27702022868755</v>
      </c>
      <c r="CS30" s="2">
        <v>216.31792831941917</v>
      </c>
      <c r="CT30" s="2">
        <v>220.93775683681835</v>
      </c>
      <c r="CU30" s="9">
        <v>0.06</v>
      </c>
      <c r="CV30" s="9">
        <v>0.14000000000000001</v>
      </c>
      <c r="CW30" s="9">
        <v>7.0000000000000007E-2</v>
      </c>
      <c r="CX30" s="9">
        <v>0.04</v>
      </c>
      <c r="CY30" s="2">
        <f t="shared" si="4"/>
        <v>83.789573661745791</v>
      </c>
      <c r="CZ30">
        <v>2084</v>
      </c>
      <c r="DA30">
        <v>1442</v>
      </c>
      <c r="DB30">
        <v>630080</v>
      </c>
      <c r="DC30">
        <v>1947</v>
      </c>
      <c r="DE30" t="s">
        <v>147</v>
      </c>
      <c r="DF30">
        <v>1010978</v>
      </c>
      <c r="DG30">
        <v>437803</v>
      </c>
      <c r="DH30">
        <v>230</v>
      </c>
      <c r="DI30" s="4">
        <v>2.3092075659600324</v>
      </c>
      <c r="DJ30" s="4">
        <v>2.1091921889343235</v>
      </c>
      <c r="DK30" s="6">
        <v>4395.5565217391304</v>
      </c>
      <c r="DL30" s="4">
        <v>1.3200355786045952</v>
      </c>
      <c r="DM30" s="6">
        <v>1903.4913043478261</v>
      </c>
    </row>
    <row r="31" spans="1:117" x14ac:dyDescent="0.25">
      <c r="A31" t="s">
        <v>110</v>
      </c>
      <c r="B31" t="s">
        <v>128</v>
      </c>
      <c r="C31">
        <v>115.44614199999999</v>
      </c>
      <c r="D31">
        <v>-28.588141</v>
      </c>
      <c r="E31">
        <v>2022</v>
      </c>
      <c r="F31" t="s">
        <v>128</v>
      </c>
      <c r="G31" t="s">
        <v>141</v>
      </c>
      <c r="H31" t="s">
        <v>144</v>
      </c>
      <c r="I31">
        <v>28.7</v>
      </c>
      <c r="J31">
        <v>3.2</v>
      </c>
      <c r="K31">
        <v>1019928</v>
      </c>
      <c r="L31">
        <v>12.36</v>
      </c>
      <c r="M31">
        <v>37.9</v>
      </c>
      <c r="N31">
        <v>376</v>
      </c>
      <c r="O31">
        <v>37.5</v>
      </c>
      <c r="P31">
        <v>28.6</v>
      </c>
      <c r="Q31">
        <v>6</v>
      </c>
      <c r="R31">
        <v>826149.4</v>
      </c>
      <c r="S31">
        <v>11.08</v>
      </c>
      <c r="T31">
        <v>36.299999999999997</v>
      </c>
      <c r="U31">
        <v>309</v>
      </c>
      <c r="V31">
        <v>37.799999999999997</v>
      </c>
      <c r="W31">
        <v>25.5</v>
      </c>
      <c r="X31">
        <v>38</v>
      </c>
      <c r="Y31">
        <v>720216.7</v>
      </c>
      <c r="Z31">
        <v>10.95</v>
      </c>
      <c r="AA31">
        <v>30.8</v>
      </c>
      <c r="AB31">
        <v>261.60000000000002</v>
      </c>
      <c r="AC31">
        <v>48.1</v>
      </c>
      <c r="AD31">
        <v>20.2</v>
      </c>
      <c r="AE31">
        <v>40.4</v>
      </c>
      <c r="AF31">
        <v>539845.19999999995</v>
      </c>
      <c r="AG31">
        <v>9.94</v>
      </c>
      <c r="AH31">
        <v>22.3</v>
      </c>
      <c r="AI31">
        <v>164.9</v>
      </c>
      <c r="AJ31">
        <v>59.9</v>
      </c>
      <c r="AK31">
        <v>16.899999999999999</v>
      </c>
      <c r="AL31">
        <v>24.8</v>
      </c>
      <c r="AM31">
        <v>431875.3</v>
      </c>
      <c r="AN31">
        <v>8.18</v>
      </c>
      <c r="AO31">
        <v>18.100000000000001</v>
      </c>
      <c r="AP31">
        <v>129.30000000000001</v>
      </c>
      <c r="AQ31">
        <v>61.9</v>
      </c>
      <c r="AR31">
        <v>14.6</v>
      </c>
      <c r="AS31">
        <v>21.2</v>
      </c>
      <c r="AT31">
        <v>366820.6</v>
      </c>
      <c r="AU31">
        <v>8.6</v>
      </c>
      <c r="AV31">
        <v>15.1</v>
      </c>
      <c r="AW31">
        <v>96.7</v>
      </c>
      <c r="AX31">
        <v>70.099999999999994</v>
      </c>
      <c r="AY31">
        <v>13.3</v>
      </c>
      <c r="AZ31">
        <v>52</v>
      </c>
      <c r="BA31">
        <v>389152.4</v>
      </c>
      <c r="BB31">
        <v>7.07</v>
      </c>
      <c r="BC31">
        <v>13.6</v>
      </c>
      <c r="BD31">
        <v>103.1</v>
      </c>
      <c r="BE31">
        <v>67.2</v>
      </c>
      <c r="BF31">
        <v>12.4</v>
      </c>
      <c r="BG31">
        <v>90</v>
      </c>
      <c r="BH31">
        <v>504720.2</v>
      </c>
      <c r="BI31">
        <v>7.97</v>
      </c>
      <c r="BJ31">
        <v>13.8</v>
      </c>
      <c r="BK31">
        <v>113.6</v>
      </c>
      <c r="BL31">
        <v>73.099999999999994</v>
      </c>
      <c r="BM31">
        <v>14.4</v>
      </c>
      <c r="BN31">
        <v>27.6</v>
      </c>
      <c r="BO31">
        <v>596317.80000000005</v>
      </c>
      <c r="BP31">
        <v>7.3</v>
      </c>
      <c r="BQ31">
        <v>17.899999999999999</v>
      </c>
      <c r="BR31">
        <v>148.5</v>
      </c>
      <c r="BS31">
        <v>68.8</v>
      </c>
      <c r="BT31">
        <v>16.399999999999999</v>
      </c>
      <c r="BU31">
        <v>4.8</v>
      </c>
      <c r="BV31">
        <v>810487.3</v>
      </c>
      <c r="BW31">
        <v>8.6999999999999993</v>
      </c>
      <c r="BX31">
        <v>22.9</v>
      </c>
      <c r="BY31">
        <v>223.6</v>
      </c>
      <c r="BZ31">
        <v>56.8</v>
      </c>
      <c r="CA31">
        <v>20.5</v>
      </c>
      <c r="CB31">
        <v>1</v>
      </c>
      <c r="CC31">
        <v>890584.9</v>
      </c>
      <c r="CD31">
        <v>9.94</v>
      </c>
      <c r="CE31">
        <v>27.7</v>
      </c>
      <c r="CF31">
        <v>272.89999999999998</v>
      </c>
      <c r="CG31">
        <v>47</v>
      </c>
      <c r="CH31">
        <v>25.5</v>
      </c>
      <c r="CI31">
        <v>8.8000000000000007</v>
      </c>
      <c r="CJ31">
        <v>1016056.3</v>
      </c>
      <c r="CK31">
        <v>11.65</v>
      </c>
      <c r="CL31">
        <v>33</v>
      </c>
      <c r="CM31">
        <v>347.4</v>
      </c>
      <c r="CN31">
        <v>40</v>
      </c>
      <c r="CP31" s="2">
        <v>289.67373585000001</v>
      </c>
      <c r="CQ31" s="2">
        <v>542.29644206599164</v>
      </c>
      <c r="CR31" s="2">
        <v>496.38748434885002</v>
      </c>
      <c r="CS31" s="2">
        <v>518.45774085826167</v>
      </c>
      <c r="CT31" s="2">
        <v>633.48375672743168</v>
      </c>
      <c r="CU31" s="9">
        <v>0.06</v>
      </c>
      <c r="CV31" s="9">
        <v>0.14000000000000001</v>
      </c>
      <c r="CW31" s="9">
        <v>7.0000000000000007E-2</v>
      </c>
      <c r="CX31" s="9">
        <v>0.04</v>
      </c>
      <c r="CY31" s="2">
        <f t="shared" si="4"/>
        <v>163.6634264619741</v>
      </c>
      <c r="CZ31">
        <v>3283</v>
      </c>
      <c r="DA31">
        <v>1633</v>
      </c>
      <c r="DB31">
        <v>1057730</v>
      </c>
      <c r="DC31">
        <v>3165</v>
      </c>
      <c r="DE31" t="s">
        <v>147</v>
      </c>
      <c r="DK31" s="5">
        <f>+DJ30*CZ31</f>
        <v>6924.4779562713838</v>
      </c>
      <c r="DM31" s="5">
        <f>+DL30*DA31</f>
        <v>2155.618099861304</v>
      </c>
    </row>
    <row r="32" spans="1:117" x14ac:dyDescent="0.25">
      <c r="A32" t="s">
        <v>111</v>
      </c>
      <c r="B32" t="s">
        <v>129</v>
      </c>
      <c r="C32">
        <v>117.07455</v>
      </c>
      <c r="D32">
        <v>-32.926220000000001</v>
      </c>
      <c r="E32">
        <v>2021</v>
      </c>
      <c r="F32" t="s">
        <v>129</v>
      </c>
      <c r="G32" t="s">
        <v>139</v>
      </c>
      <c r="H32" t="s">
        <v>142</v>
      </c>
      <c r="I32">
        <v>22.7</v>
      </c>
      <c r="J32">
        <v>5.2</v>
      </c>
      <c r="K32">
        <v>856514.6</v>
      </c>
      <c r="L32">
        <v>16.940000000000001</v>
      </c>
      <c r="N32">
        <v>302</v>
      </c>
      <c r="O32">
        <v>45.3</v>
      </c>
      <c r="P32">
        <v>22.3</v>
      </c>
      <c r="Q32">
        <v>0.6</v>
      </c>
      <c r="R32">
        <v>499768.1</v>
      </c>
      <c r="S32">
        <v>13.31</v>
      </c>
      <c r="U32">
        <v>154.69999999999999</v>
      </c>
      <c r="V32">
        <v>51.2</v>
      </c>
      <c r="W32">
        <v>21</v>
      </c>
      <c r="X32">
        <v>63.8</v>
      </c>
      <c r="Y32">
        <v>583964</v>
      </c>
      <c r="Z32">
        <v>10.08</v>
      </c>
      <c r="AB32">
        <v>178.7</v>
      </c>
      <c r="AC32">
        <v>59.7</v>
      </c>
      <c r="AD32">
        <v>17.5</v>
      </c>
      <c r="AE32">
        <v>52.6</v>
      </c>
      <c r="AF32">
        <v>463372</v>
      </c>
      <c r="AG32">
        <v>8.94</v>
      </c>
      <c r="AI32">
        <v>123.8</v>
      </c>
      <c r="AJ32">
        <v>67.900000000000006</v>
      </c>
      <c r="AK32">
        <v>13.4</v>
      </c>
      <c r="AL32">
        <v>99</v>
      </c>
      <c r="AM32">
        <v>317124.8</v>
      </c>
      <c r="AN32">
        <v>7.57</v>
      </c>
      <c r="AP32">
        <v>72.8</v>
      </c>
      <c r="AQ32">
        <v>78.900000000000006</v>
      </c>
      <c r="AR32">
        <v>9.6999999999999993</v>
      </c>
      <c r="AS32">
        <v>26.8</v>
      </c>
      <c r="AT32">
        <v>273984.8</v>
      </c>
      <c r="AU32">
        <v>7.63</v>
      </c>
      <c r="AW32">
        <v>51.4</v>
      </c>
      <c r="AX32">
        <v>84.9</v>
      </c>
      <c r="AY32">
        <v>10.5</v>
      </c>
      <c r="AZ32">
        <v>173.2</v>
      </c>
      <c r="BA32">
        <v>277835.40000000002</v>
      </c>
      <c r="BB32">
        <v>10.91</v>
      </c>
      <c r="BD32">
        <v>48.3</v>
      </c>
      <c r="BE32">
        <v>87.7</v>
      </c>
      <c r="BF32">
        <v>10.5</v>
      </c>
      <c r="BG32">
        <v>63</v>
      </c>
      <c r="BH32">
        <v>421982</v>
      </c>
      <c r="BI32">
        <v>8.34</v>
      </c>
      <c r="BK32">
        <v>79.400000000000006</v>
      </c>
      <c r="BL32">
        <v>82.7</v>
      </c>
      <c r="BM32">
        <v>11.4</v>
      </c>
      <c r="BN32">
        <v>48.4</v>
      </c>
      <c r="BO32">
        <v>543892.4</v>
      </c>
      <c r="BP32">
        <v>8.09</v>
      </c>
      <c r="BR32">
        <v>115.4</v>
      </c>
      <c r="BS32">
        <v>77.400000000000006</v>
      </c>
      <c r="BT32">
        <v>12.7</v>
      </c>
      <c r="BU32">
        <v>50.2</v>
      </c>
      <c r="BV32">
        <v>676489.6</v>
      </c>
      <c r="BW32">
        <v>8.5399999999999991</v>
      </c>
      <c r="BY32">
        <v>147</v>
      </c>
      <c r="BZ32">
        <v>74.3</v>
      </c>
      <c r="CA32">
        <v>17.2</v>
      </c>
      <c r="CB32">
        <v>14</v>
      </c>
      <c r="CC32">
        <v>819631.1</v>
      </c>
      <c r="CD32">
        <v>11.94</v>
      </c>
      <c r="CF32">
        <v>224.8</v>
      </c>
      <c r="CG32">
        <v>58.5</v>
      </c>
      <c r="CH32">
        <v>21.9</v>
      </c>
      <c r="CI32">
        <v>2.8</v>
      </c>
      <c r="CJ32">
        <v>966448.2</v>
      </c>
      <c r="CK32">
        <v>13.41</v>
      </c>
      <c r="CM32">
        <v>303.5</v>
      </c>
      <c r="CN32">
        <v>49.1</v>
      </c>
      <c r="CP32" s="2">
        <v>201.19636589166666</v>
      </c>
      <c r="CQ32" s="2">
        <v>333.51709289829085</v>
      </c>
      <c r="CR32" s="2">
        <v>284.27702022868755</v>
      </c>
      <c r="CS32" s="2">
        <v>216.31792831941917</v>
      </c>
      <c r="CT32" s="2">
        <v>220.93775683681835</v>
      </c>
      <c r="CU32" s="9">
        <v>0.06</v>
      </c>
      <c r="CV32" s="9">
        <v>0.14000000000000001</v>
      </c>
      <c r="CW32" s="9">
        <v>7.0000000000000007E-2</v>
      </c>
      <c r="CX32" s="9">
        <v>0.04</v>
      </c>
      <c r="CY32" s="2">
        <f t="shared" si="4"/>
        <v>83.789573661745791</v>
      </c>
      <c r="CZ32">
        <v>1906</v>
      </c>
      <c r="DA32">
        <v>791</v>
      </c>
      <c r="DB32">
        <v>672130</v>
      </c>
      <c r="DC32">
        <v>1780</v>
      </c>
      <c r="DE32" t="s">
        <v>146</v>
      </c>
      <c r="DF32">
        <v>6651</v>
      </c>
      <c r="DG32">
        <v>2877</v>
      </c>
      <c r="DH32">
        <v>11</v>
      </c>
      <c r="DI32" s="4">
        <v>2.3117831074035453</v>
      </c>
      <c r="DJ32" s="4">
        <v>0.31722789277878471</v>
      </c>
      <c r="DK32" s="6">
        <v>604.63636363636363</v>
      </c>
      <c r="DL32" s="4">
        <v>0.33065164923572005</v>
      </c>
      <c r="DM32" s="6">
        <v>261.54545454545456</v>
      </c>
    </row>
    <row r="33" spans="1:117" x14ac:dyDescent="0.25">
      <c r="A33" t="s">
        <v>111</v>
      </c>
      <c r="B33" t="s">
        <v>129</v>
      </c>
      <c r="C33">
        <v>117.07455</v>
      </c>
      <c r="D33">
        <v>-32.926220000000001</v>
      </c>
      <c r="E33">
        <v>2022</v>
      </c>
      <c r="F33" t="s">
        <v>129</v>
      </c>
      <c r="G33" t="s">
        <v>139</v>
      </c>
      <c r="H33" t="s">
        <v>142</v>
      </c>
      <c r="I33">
        <v>23.7</v>
      </c>
      <c r="J33">
        <v>0.4</v>
      </c>
      <c r="K33">
        <v>976979.6</v>
      </c>
      <c r="L33">
        <v>14.81</v>
      </c>
      <c r="N33">
        <v>325.7</v>
      </c>
      <c r="O33">
        <v>46</v>
      </c>
      <c r="P33">
        <v>23.7</v>
      </c>
      <c r="Q33">
        <v>1.2</v>
      </c>
      <c r="R33">
        <v>793397.1</v>
      </c>
      <c r="S33">
        <v>14.74</v>
      </c>
      <c r="U33">
        <v>268.2</v>
      </c>
      <c r="V33">
        <v>47.6</v>
      </c>
      <c r="W33">
        <v>20.5</v>
      </c>
      <c r="X33">
        <v>19.8</v>
      </c>
      <c r="Y33">
        <v>588470.5</v>
      </c>
      <c r="Z33">
        <v>13.28</v>
      </c>
      <c r="AB33">
        <v>189.5</v>
      </c>
      <c r="AC33">
        <v>60.8</v>
      </c>
      <c r="AD33">
        <v>16.3</v>
      </c>
      <c r="AE33">
        <v>11.2</v>
      </c>
      <c r="AF33">
        <v>470825.9</v>
      </c>
      <c r="AG33">
        <v>9.18</v>
      </c>
      <c r="AI33">
        <v>126.9</v>
      </c>
      <c r="AJ33">
        <v>67.3</v>
      </c>
      <c r="AK33">
        <v>13.3</v>
      </c>
      <c r="AL33">
        <v>57.8</v>
      </c>
      <c r="AM33">
        <v>345296.3</v>
      </c>
      <c r="AN33">
        <v>7.8</v>
      </c>
      <c r="AP33">
        <v>86.5</v>
      </c>
      <c r="AQ33">
        <v>72.3</v>
      </c>
      <c r="AR33">
        <v>11.5</v>
      </c>
      <c r="AS33">
        <v>83.6</v>
      </c>
      <c r="AT33">
        <v>251126.6</v>
      </c>
      <c r="AU33">
        <v>8.4700000000000006</v>
      </c>
      <c r="AW33">
        <v>47.4</v>
      </c>
      <c r="AX33">
        <v>84</v>
      </c>
      <c r="AY33">
        <v>10.3</v>
      </c>
      <c r="AZ33">
        <v>63</v>
      </c>
      <c r="BA33">
        <v>290644.09999999998</v>
      </c>
      <c r="BB33">
        <v>7.33</v>
      </c>
      <c r="BD33">
        <v>54.1</v>
      </c>
      <c r="BE33">
        <v>83.5</v>
      </c>
      <c r="BF33">
        <v>9.6999999999999993</v>
      </c>
      <c r="BG33">
        <v>96.8</v>
      </c>
      <c r="BH33">
        <v>414179.8</v>
      </c>
      <c r="BI33">
        <v>8.7100000000000009</v>
      </c>
      <c r="BK33">
        <v>75.099999999999994</v>
      </c>
      <c r="BL33">
        <v>82.6</v>
      </c>
      <c r="BM33">
        <v>11.8</v>
      </c>
      <c r="BN33">
        <v>46.2</v>
      </c>
      <c r="BO33">
        <v>522804.5</v>
      </c>
      <c r="BP33">
        <v>8.0399999999999991</v>
      </c>
      <c r="BR33">
        <v>107.8</v>
      </c>
      <c r="BS33">
        <v>79.400000000000006</v>
      </c>
      <c r="BT33">
        <v>12.5</v>
      </c>
      <c r="BU33">
        <v>32</v>
      </c>
      <c r="BV33">
        <v>675167</v>
      </c>
      <c r="BW33">
        <v>10.3</v>
      </c>
      <c r="BY33">
        <v>157.6</v>
      </c>
      <c r="BZ33">
        <v>72.2</v>
      </c>
      <c r="CA33">
        <v>16.5</v>
      </c>
      <c r="CB33">
        <v>7.6</v>
      </c>
      <c r="CC33">
        <v>763923.1</v>
      </c>
      <c r="CD33">
        <v>11.58</v>
      </c>
      <c r="CF33">
        <v>201.2</v>
      </c>
      <c r="CG33">
        <v>61.4</v>
      </c>
      <c r="CH33">
        <v>20.7</v>
      </c>
      <c r="CI33">
        <v>0</v>
      </c>
      <c r="CJ33">
        <v>950667.8</v>
      </c>
      <c r="CK33">
        <v>14.92</v>
      </c>
      <c r="CM33">
        <v>294.89999999999998</v>
      </c>
      <c r="CN33">
        <v>51.3</v>
      </c>
      <c r="CP33" s="2">
        <v>289.67373585000001</v>
      </c>
      <c r="CQ33" s="2">
        <v>542.29644206599164</v>
      </c>
      <c r="CR33" s="2">
        <v>496.38748434885002</v>
      </c>
      <c r="CS33" s="2">
        <v>518.45774085826167</v>
      </c>
      <c r="CT33" s="2">
        <v>633.48375672743168</v>
      </c>
      <c r="CU33" s="9">
        <v>0.06</v>
      </c>
      <c r="CV33" s="9">
        <v>0.14000000000000001</v>
      </c>
      <c r="CW33" s="9">
        <v>7.0000000000000007E-2</v>
      </c>
      <c r="CX33" s="9">
        <v>0.04</v>
      </c>
      <c r="CY33" s="2">
        <f t="shared" si="4"/>
        <v>163.6634264619741</v>
      </c>
      <c r="CZ33">
        <v>2575</v>
      </c>
      <c r="DA33">
        <v>794</v>
      </c>
      <c r="DB33">
        <v>817540</v>
      </c>
      <c r="DC33">
        <v>2395</v>
      </c>
      <c r="DE33" t="s">
        <v>146</v>
      </c>
      <c r="DK33" s="5">
        <f>+DJ32*CZ33</f>
        <v>816.86182390537067</v>
      </c>
      <c r="DM33" s="5">
        <f>+DL32*DA33</f>
        <v>262.5374094931617</v>
      </c>
    </row>
    <row r="34" spans="1:117" x14ac:dyDescent="0.25">
      <c r="A34" t="s">
        <v>112</v>
      </c>
      <c r="B34" t="s">
        <v>130</v>
      </c>
      <c r="C34">
        <v>116.694194</v>
      </c>
      <c r="D34">
        <v>-31.651610999999999</v>
      </c>
      <c r="E34">
        <v>2021</v>
      </c>
      <c r="F34" t="s">
        <v>130</v>
      </c>
      <c r="G34" t="s">
        <v>139</v>
      </c>
      <c r="H34" t="s">
        <v>142</v>
      </c>
      <c r="I34">
        <v>26.2</v>
      </c>
      <c r="J34">
        <v>0</v>
      </c>
      <c r="K34">
        <v>954732.6</v>
      </c>
      <c r="L34">
        <v>7.84</v>
      </c>
      <c r="M34">
        <v>36.299999999999997</v>
      </c>
      <c r="N34">
        <v>311.10000000000002</v>
      </c>
      <c r="O34">
        <v>36.6</v>
      </c>
      <c r="P34">
        <v>24.2</v>
      </c>
      <c r="Q34">
        <v>20.8</v>
      </c>
      <c r="R34">
        <v>732696.9</v>
      </c>
      <c r="S34">
        <v>6.71</v>
      </c>
      <c r="T34">
        <v>32.4</v>
      </c>
      <c r="U34">
        <v>225.2</v>
      </c>
      <c r="V34">
        <v>47.5</v>
      </c>
      <c r="W34">
        <v>23.4</v>
      </c>
      <c r="X34">
        <v>174</v>
      </c>
      <c r="Y34">
        <v>645144.4</v>
      </c>
      <c r="Z34">
        <v>4.29</v>
      </c>
      <c r="AA34">
        <v>28.6</v>
      </c>
      <c r="AB34">
        <v>186.9</v>
      </c>
      <c r="AC34">
        <v>54</v>
      </c>
      <c r="AD34">
        <v>19.8</v>
      </c>
      <c r="AE34">
        <v>13</v>
      </c>
      <c r="AF34">
        <v>469886.2</v>
      </c>
      <c r="AG34">
        <v>3.48</v>
      </c>
      <c r="AH34">
        <v>24.5</v>
      </c>
      <c r="AI34">
        <v>127.1</v>
      </c>
      <c r="AJ34">
        <v>57.9</v>
      </c>
      <c r="AK34">
        <v>15.1</v>
      </c>
      <c r="AL34">
        <v>118</v>
      </c>
      <c r="AM34">
        <v>341668.8</v>
      </c>
      <c r="AN34">
        <v>2.6</v>
      </c>
      <c r="AO34">
        <v>17.5</v>
      </c>
      <c r="AP34">
        <v>73.3</v>
      </c>
      <c r="AQ34">
        <v>76.099999999999994</v>
      </c>
      <c r="AR34">
        <v>10.5</v>
      </c>
      <c r="AS34">
        <v>36.200000000000003</v>
      </c>
      <c r="AT34">
        <v>282907.7</v>
      </c>
      <c r="AU34">
        <v>2.5099999999999998</v>
      </c>
      <c r="AV34">
        <v>12.6</v>
      </c>
      <c r="AW34">
        <v>47.6</v>
      </c>
      <c r="AX34">
        <v>85.9</v>
      </c>
      <c r="AY34">
        <v>12</v>
      </c>
      <c r="AZ34">
        <v>139.4</v>
      </c>
      <c r="BA34">
        <v>292794.5</v>
      </c>
      <c r="BB34">
        <v>4.9000000000000004</v>
      </c>
      <c r="BC34">
        <v>13.2</v>
      </c>
      <c r="BD34">
        <v>48.6</v>
      </c>
      <c r="BE34">
        <v>88.8</v>
      </c>
      <c r="BF34">
        <v>11.4</v>
      </c>
      <c r="BG34">
        <v>65.2</v>
      </c>
      <c r="BH34">
        <v>419324.2</v>
      </c>
      <c r="BI34">
        <v>3.19</v>
      </c>
      <c r="BJ34">
        <v>13.9</v>
      </c>
      <c r="BK34">
        <v>77.599999999999994</v>
      </c>
      <c r="BL34">
        <v>84</v>
      </c>
      <c r="BM34">
        <v>12.7</v>
      </c>
      <c r="BN34">
        <v>31.2</v>
      </c>
      <c r="BO34">
        <v>572878.80000000005</v>
      </c>
      <c r="BP34">
        <v>3.4</v>
      </c>
      <c r="BQ34">
        <v>17.3</v>
      </c>
      <c r="BR34">
        <v>119.8</v>
      </c>
      <c r="BS34">
        <v>75.5</v>
      </c>
      <c r="BT34">
        <v>15.1</v>
      </c>
      <c r="BU34">
        <v>53.4</v>
      </c>
      <c r="BV34">
        <v>704630.4</v>
      </c>
      <c r="BW34">
        <v>4.6100000000000003</v>
      </c>
      <c r="BX34">
        <v>21.3</v>
      </c>
      <c r="BY34">
        <v>159</v>
      </c>
      <c r="BZ34">
        <v>67.2</v>
      </c>
      <c r="CA34">
        <v>20.2</v>
      </c>
      <c r="CB34">
        <v>0.2</v>
      </c>
      <c r="CC34">
        <v>839788.2</v>
      </c>
      <c r="CD34">
        <v>5.58</v>
      </c>
      <c r="CE34">
        <v>29.5</v>
      </c>
      <c r="CF34">
        <v>232.1</v>
      </c>
      <c r="CG34">
        <v>49</v>
      </c>
      <c r="CH34">
        <v>25.4</v>
      </c>
      <c r="CI34">
        <v>0</v>
      </c>
      <c r="CJ34">
        <v>979336.4</v>
      </c>
      <c r="CK34">
        <v>5.96</v>
      </c>
      <c r="CL34">
        <v>36.6</v>
      </c>
      <c r="CM34">
        <v>296.89999999999998</v>
      </c>
      <c r="CN34">
        <v>40.6</v>
      </c>
      <c r="CP34" s="2">
        <v>201.19636589166666</v>
      </c>
      <c r="CQ34" s="2">
        <v>333.51709289829085</v>
      </c>
      <c r="CR34" s="2">
        <v>284.27702022868755</v>
      </c>
      <c r="CS34" s="2">
        <v>216.31792831941917</v>
      </c>
      <c r="CT34" s="2">
        <v>220.93775683681835</v>
      </c>
      <c r="CU34" s="9">
        <v>0.06</v>
      </c>
      <c r="CV34" s="9">
        <v>0.14000000000000001</v>
      </c>
      <c r="CW34" s="9">
        <v>7.0000000000000007E-2</v>
      </c>
      <c r="CX34" s="9">
        <v>0.04</v>
      </c>
      <c r="CY34" s="2">
        <f t="shared" si="4"/>
        <v>83.789573661745791</v>
      </c>
      <c r="CZ34">
        <v>1906</v>
      </c>
      <c r="DA34">
        <v>791</v>
      </c>
      <c r="DB34">
        <v>672130</v>
      </c>
      <c r="DC34">
        <v>1780</v>
      </c>
      <c r="DE34" t="s">
        <v>146</v>
      </c>
      <c r="DF34">
        <v>54638</v>
      </c>
      <c r="DG34">
        <v>25281</v>
      </c>
      <c r="DH34">
        <v>49</v>
      </c>
      <c r="DI34" s="4">
        <v>2.1612277995332465</v>
      </c>
      <c r="DJ34" s="4">
        <v>0.58502687538814058</v>
      </c>
      <c r="DK34" s="6">
        <v>1115.0612244897959</v>
      </c>
      <c r="DL34" s="4">
        <v>0.65226141025310247</v>
      </c>
      <c r="DM34" s="6">
        <v>515.9387755102041</v>
      </c>
    </row>
    <row r="35" spans="1:117" x14ac:dyDescent="0.25">
      <c r="A35" t="s">
        <v>112</v>
      </c>
      <c r="B35" t="s">
        <v>130</v>
      </c>
      <c r="C35">
        <v>116.694194</v>
      </c>
      <c r="D35">
        <v>-31.651610999999999</v>
      </c>
      <c r="E35">
        <v>2022</v>
      </c>
      <c r="F35" t="s">
        <v>130</v>
      </c>
      <c r="G35" t="s">
        <v>139</v>
      </c>
      <c r="H35" t="s">
        <v>142</v>
      </c>
      <c r="I35">
        <v>27.2</v>
      </c>
      <c r="J35">
        <v>0.4</v>
      </c>
      <c r="K35">
        <v>989830.1</v>
      </c>
      <c r="L35">
        <v>6.29</v>
      </c>
      <c r="M35">
        <v>39</v>
      </c>
      <c r="N35">
        <v>317.60000000000002</v>
      </c>
      <c r="O35">
        <v>37.5</v>
      </c>
      <c r="P35">
        <v>27.1</v>
      </c>
      <c r="Q35">
        <v>2.8</v>
      </c>
      <c r="R35">
        <v>808742.1</v>
      </c>
      <c r="S35">
        <v>5.93</v>
      </c>
      <c r="T35">
        <v>36.6</v>
      </c>
      <c r="U35">
        <v>260</v>
      </c>
      <c r="V35">
        <v>40</v>
      </c>
      <c r="W35">
        <v>23.2</v>
      </c>
      <c r="X35">
        <v>22.4</v>
      </c>
      <c r="Y35">
        <v>628875.4</v>
      </c>
      <c r="Z35">
        <v>5.08</v>
      </c>
      <c r="AA35">
        <v>30.1</v>
      </c>
      <c r="AB35">
        <v>186.6</v>
      </c>
      <c r="AC35">
        <v>53.6</v>
      </c>
      <c r="AD35">
        <v>18.2</v>
      </c>
      <c r="AE35">
        <v>33</v>
      </c>
      <c r="AF35">
        <v>480388.2</v>
      </c>
      <c r="AG35">
        <v>3.49</v>
      </c>
      <c r="AH35">
        <v>22.3</v>
      </c>
      <c r="AI35">
        <v>119.1</v>
      </c>
      <c r="AJ35">
        <v>64.900000000000006</v>
      </c>
      <c r="AK35">
        <v>14.6</v>
      </c>
      <c r="AL35">
        <v>36.799999999999997</v>
      </c>
      <c r="AM35">
        <v>377356.2</v>
      </c>
      <c r="AN35">
        <v>3.06</v>
      </c>
      <c r="AO35">
        <v>17</v>
      </c>
      <c r="AP35">
        <v>85.6</v>
      </c>
      <c r="AQ35">
        <v>72</v>
      </c>
      <c r="AR35">
        <v>12.2</v>
      </c>
      <c r="AS35">
        <v>52.6</v>
      </c>
      <c r="AT35">
        <v>292244.7</v>
      </c>
      <c r="AU35">
        <v>2.74</v>
      </c>
      <c r="AV35">
        <v>13.7</v>
      </c>
      <c r="AW35">
        <v>51</v>
      </c>
      <c r="AX35">
        <v>83.8</v>
      </c>
      <c r="AY35">
        <v>10.7</v>
      </c>
      <c r="AZ35">
        <v>53.8</v>
      </c>
      <c r="BA35">
        <v>307390</v>
      </c>
      <c r="BB35">
        <v>2.7</v>
      </c>
      <c r="BC35">
        <v>12.2</v>
      </c>
      <c r="BD35">
        <v>53.6</v>
      </c>
      <c r="BE35">
        <v>85</v>
      </c>
      <c r="BF35">
        <v>10.8</v>
      </c>
      <c r="BG35">
        <v>132.6</v>
      </c>
      <c r="BH35">
        <v>415721.9</v>
      </c>
      <c r="BI35">
        <v>3.43</v>
      </c>
      <c r="BJ35">
        <v>12.7</v>
      </c>
      <c r="BK35">
        <v>74.3</v>
      </c>
      <c r="BL35">
        <v>83.4</v>
      </c>
      <c r="BM35">
        <v>13.2</v>
      </c>
      <c r="BN35">
        <v>37</v>
      </c>
      <c r="BO35">
        <v>519342.9</v>
      </c>
      <c r="BP35">
        <v>2.13</v>
      </c>
      <c r="BQ35">
        <v>13.9</v>
      </c>
      <c r="BR35">
        <v>72.599999999999994</v>
      </c>
      <c r="BS35">
        <v>76.2</v>
      </c>
      <c r="BT35">
        <v>14.8</v>
      </c>
      <c r="BU35">
        <v>14</v>
      </c>
      <c r="BV35">
        <v>693037.4</v>
      </c>
      <c r="BW35">
        <v>4.8499999999999996</v>
      </c>
      <c r="BX35">
        <v>19.8</v>
      </c>
      <c r="BY35">
        <v>161.4</v>
      </c>
      <c r="BZ35">
        <v>63.7</v>
      </c>
      <c r="CA35">
        <v>18.8</v>
      </c>
      <c r="CB35">
        <v>11.6</v>
      </c>
      <c r="CC35">
        <v>799688.7</v>
      </c>
      <c r="CD35">
        <v>4.96</v>
      </c>
      <c r="CE35">
        <v>25.8</v>
      </c>
      <c r="CF35">
        <v>203.5</v>
      </c>
      <c r="CG35">
        <v>53.9</v>
      </c>
      <c r="CH35">
        <v>23.4</v>
      </c>
      <c r="CI35">
        <v>6.8</v>
      </c>
      <c r="CJ35">
        <v>981099.7</v>
      </c>
      <c r="CK35">
        <v>5.89</v>
      </c>
      <c r="CL35">
        <v>22.1</v>
      </c>
      <c r="CM35">
        <v>287.60000000000002</v>
      </c>
      <c r="CN35">
        <v>43.9</v>
      </c>
      <c r="CP35" s="2">
        <v>289.67373585000001</v>
      </c>
      <c r="CQ35" s="2">
        <v>542.29644206599164</v>
      </c>
      <c r="CR35" s="2">
        <v>496.38748434885002</v>
      </c>
      <c r="CS35" s="2">
        <v>518.45774085826167</v>
      </c>
      <c r="CT35" s="2">
        <v>633.48375672743168</v>
      </c>
      <c r="CU35" s="9">
        <v>0.06</v>
      </c>
      <c r="CV35" s="9">
        <v>0.14000000000000001</v>
      </c>
      <c r="CW35" s="9">
        <v>7.0000000000000007E-2</v>
      </c>
      <c r="CX35" s="9">
        <v>0.04</v>
      </c>
      <c r="CY35" s="2">
        <f t="shared" si="4"/>
        <v>163.6634264619741</v>
      </c>
      <c r="CZ35">
        <v>2575</v>
      </c>
      <c r="DA35">
        <v>794</v>
      </c>
      <c r="DB35">
        <v>817540</v>
      </c>
      <c r="DC35">
        <v>2395</v>
      </c>
      <c r="DE35" t="s">
        <v>146</v>
      </c>
      <c r="DK35" s="5">
        <f>+DJ34*CZ35</f>
        <v>1506.444204124462</v>
      </c>
      <c r="DM35" s="5">
        <f>+DL34*DA35</f>
        <v>517.89555974096334</v>
      </c>
    </row>
    <row r="36" spans="1:117" x14ac:dyDescent="0.25">
      <c r="A36" t="s">
        <v>113</v>
      </c>
      <c r="B36" t="s">
        <v>131</v>
      </c>
      <c r="C36">
        <v>117.35693499999999</v>
      </c>
      <c r="D36">
        <v>-33.317464999999999</v>
      </c>
      <c r="E36">
        <v>2021</v>
      </c>
      <c r="F36" t="s">
        <v>131</v>
      </c>
      <c r="G36" t="s">
        <v>139</v>
      </c>
      <c r="H36" t="s">
        <v>142</v>
      </c>
      <c r="I36">
        <v>22.6</v>
      </c>
      <c r="J36">
        <v>4.8</v>
      </c>
      <c r="K36">
        <v>946850.6</v>
      </c>
      <c r="L36">
        <v>14.81</v>
      </c>
      <c r="N36">
        <v>318.89999999999998</v>
      </c>
      <c r="O36">
        <v>46.1</v>
      </c>
      <c r="P36">
        <v>21.1</v>
      </c>
      <c r="Q36">
        <v>34.799999999999997</v>
      </c>
      <c r="R36">
        <v>695135.2</v>
      </c>
      <c r="S36">
        <v>13.37</v>
      </c>
      <c r="U36">
        <v>221.6</v>
      </c>
      <c r="V36">
        <v>55.2</v>
      </c>
      <c r="W36">
        <v>21.2</v>
      </c>
      <c r="X36">
        <v>20.2</v>
      </c>
      <c r="Y36">
        <v>578319</v>
      </c>
      <c r="Z36">
        <v>9.2100000000000009</v>
      </c>
      <c r="AB36">
        <v>178.5</v>
      </c>
      <c r="AC36">
        <v>57.1</v>
      </c>
      <c r="AD36">
        <v>17.600000000000001</v>
      </c>
      <c r="AE36">
        <v>55.4</v>
      </c>
      <c r="AF36">
        <v>440408.2</v>
      </c>
      <c r="AG36">
        <v>7.57</v>
      </c>
      <c r="AI36">
        <v>115.7</v>
      </c>
      <c r="AJ36">
        <v>66.3</v>
      </c>
      <c r="AK36">
        <v>13.7</v>
      </c>
      <c r="AL36">
        <v>105.2</v>
      </c>
      <c r="AM36">
        <v>300063</v>
      </c>
      <c r="AN36">
        <v>6.92</v>
      </c>
      <c r="AP36">
        <v>66.400000000000006</v>
      </c>
      <c r="AQ36">
        <v>78.7</v>
      </c>
      <c r="AR36">
        <v>10.5</v>
      </c>
      <c r="AS36">
        <v>18.600000000000001</v>
      </c>
      <c r="AT36">
        <v>275490.59999999998</v>
      </c>
      <c r="AU36">
        <v>7.89</v>
      </c>
      <c r="AW36">
        <v>52.7</v>
      </c>
      <c r="AX36">
        <v>84.3</v>
      </c>
      <c r="AY36">
        <v>10.7</v>
      </c>
      <c r="AZ36">
        <v>178.8</v>
      </c>
      <c r="BA36">
        <v>284931.09999999998</v>
      </c>
      <c r="BB36">
        <v>10.89</v>
      </c>
      <c r="BD36">
        <v>47.4</v>
      </c>
      <c r="BE36">
        <v>88.9</v>
      </c>
      <c r="BF36">
        <v>11</v>
      </c>
      <c r="BG36">
        <v>54</v>
      </c>
      <c r="BH36">
        <v>420673.6</v>
      </c>
      <c r="BI36">
        <v>8.32</v>
      </c>
      <c r="BK36">
        <v>79.900000000000006</v>
      </c>
      <c r="BL36">
        <v>83.9</v>
      </c>
      <c r="BM36">
        <v>11.9</v>
      </c>
      <c r="BN36">
        <v>56</v>
      </c>
      <c r="BO36">
        <v>520666.6</v>
      </c>
      <c r="BP36">
        <v>8.25</v>
      </c>
      <c r="BR36">
        <v>113.2</v>
      </c>
      <c r="BS36">
        <v>77</v>
      </c>
      <c r="BT36">
        <v>13.2</v>
      </c>
      <c r="BU36">
        <v>67.400000000000006</v>
      </c>
      <c r="BV36">
        <v>654175.1</v>
      </c>
      <c r="BW36">
        <v>8.1300000000000008</v>
      </c>
      <c r="BY36">
        <v>141.4</v>
      </c>
      <c r="BZ36">
        <v>74.599999999999994</v>
      </c>
      <c r="CA36">
        <v>17.100000000000001</v>
      </c>
      <c r="CB36">
        <v>32.4</v>
      </c>
      <c r="CC36">
        <v>789705.7</v>
      </c>
      <c r="CD36">
        <v>10.96</v>
      </c>
      <c r="CF36">
        <v>213.6</v>
      </c>
      <c r="CG36">
        <v>58.6</v>
      </c>
      <c r="CH36">
        <v>21.5</v>
      </c>
      <c r="CI36">
        <v>2.8</v>
      </c>
      <c r="CJ36">
        <v>947135.2</v>
      </c>
      <c r="CK36">
        <v>11.63</v>
      </c>
      <c r="CM36">
        <v>289.60000000000002</v>
      </c>
      <c r="CN36">
        <v>50.3</v>
      </c>
      <c r="CP36" s="2">
        <v>201.19636589166666</v>
      </c>
      <c r="CQ36" s="2">
        <v>333.51709289829085</v>
      </c>
      <c r="CR36" s="2">
        <v>284.27702022868755</v>
      </c>
      <c r="CS36" s="2">
        <v>216.31792831941917</v>
      </c>
      <c r="CT36" s="2">
        <v>220.93775683681835</v>
      </c>
      <c r="CU36" s="9">
        <v>0.06</v>
      </c>
      <c r="CV36" s="9">
        <v>0.14000000000000001</v>
      </c>
      <c r="CW36" s="9">
        <v>7.0000000000000007E-2</v>
      </c>
      <c r="CX36" s="9">
        <v>0.04</v>
      </c>
      <c r="CY36" s="2">
        <f t="shared" si="4"/>
        <v>83.789573661745791</v>
      </c>
      <c r="CZ36" s="5">
        <v>1906</v>
      </c>
      <c r="DA36" s="5">
        <v>791</v>
      </c>
      <c r="DB36" s="5">
        <v>672130</v>
      </c>
      <c r="DC36" s="5">
        <v>1780</v>
      </c>
      <c r="DE36" t="s">
        <v>146</v>
      </c>
      <c r="DF36">
        <v>100538</v>
      </c>
      <c r="DG36">
        <v>39955</v>
      </c>
      <c r="DH36">
        <v>117</v>
      </c>
      <c r="DI36" s="4">
        <v>2.5162808159179075</v>
      </c>
      <c r="DJ36" s="4">
        <v>0.45083900592819792</v>
      </c>
      <c r="DK36" s="6">
        <v>859.29914529914527</v>
      </c>
      <c r="DL36" s="4">
        <v>0.43172658216906007</v>
      </c>
      <c r="DM36" s="6">
        <v>341.4957264957265</v>
      </c>
    </row>
    <row r="37" spans="1:117" x14ac:dyDescent="0.25">
      <c r="A37" t="s">
        <v>113</v>
      </c>
      <c r="B37" t="s">
        <v>131</v>
      </c>
      <c r="C37">
        <v>117.35693499999999</v>
      </c>
      <c r="D37">
        <v>-33.317464999999999</v>
      </c>
      <c r="E37">
        <v>2022</v>
      </c>
      <c r="F37" t="s">
        <v>131</v>
      </c>
      <c r="G37" t="s">
        <v>139</v>
      </c>
      <c r="H37" t="s">
        <v>142</v>
      </c>
      <c r="I37">
        <v>23.3</v>
      </c>
      <c r="J37">
        <v>0.2</v>
      </c>
      <c r="K37">
        <v>953776.5</v>
      </c>
      <c r="L37">
        <v>12.4</v>
      </c>
      <c r="N37">
        <v>305.2</v>
      </c>
      <c r="O37">
        <v>48.1</v>
      </c>
      <c r="P37">
        <v>23.5</v>
      </c>
      <c r="Q37">
        <v>1.4</v>
      </c>
      <c r="R37">
        <v>775179.6</v>
      </c>
      <c r="S37">
        <v>12.99</v>
      </c>
      <c r="U37">
        <v>258.5</v>
      </c>
      <c r="V37">
        <v>48.9</v>
      </c>
      <c r="W37">
        <v>20.399999999999999</v>
      </c>
      <c r="X37">
        <v>30.4</v>
      </c>
      <c r="Y37">
        <v>568519.80000000005</v>
      </c>
      <c r="Z37">
        <v>11.04</v>
      </c>
      <c r="AB37">
        <v>178.2</v>
      </c>
      <c r="AC37">
        <v>61.9</v>
      </c>
      <c r="AD37">
        <v>16.2</v>
      </c>
      <c r="AE37">
        <v>12.8</v>
      </c>
      <c r="AF37">
        <v>458202.3</v>
      </c>
      <c r="AG37">
        <v>7.56</v>
      </c>
      <c r="AI37">
        <v>118.4</v>
      </c>
      <c r="AJ37">
        <v>70.7</v>
      </c>
      <c r="AK37">
        <v>13.1</v>
      </c>
      <c r="AL37">
        <v>50.2</v>
      </c>
      <c r="AM37">
        <v>338623</v>
      </c>
      <c r="AN37">
        <v>6.68</v>
      </c>
      <c r="AP37">
        <v>82.5</v>
      </c>
      <c r="AQ37">
        <v>74.599999999999994</v>
      </c>
      <c r="AR37">
        <v>11.5</v>
      </c>
      <c r="AS37">
        <v>66.400000000000006</v>
      </c>
      <c r="AT37">
        <v>247819.4</v>
      </c>
      <c r="AU37">
        <v>7.56</v>
      </c>
      <c r="AW37">
        <v>44.8</v>
      </c>
      <c r="AX37">
        <v>87.2</v>
      </c>
      <c r="AY37">
        <v>10.1</v>
      </c>
      <c r="AZ37">
        <v>59.4</v>
      </c>
      <c r="BA37">
        <v>290833.90000000002</v>
      </c>
      <c r="BB37">
        <v>6.67</v>
      </c>
      <c r="BD37">
        <v>51.2</v>
      </c>
      <c r="BE37">
        <v>78.900000000000006</v>
      </c>
      <c r="BF37">
        <v>10</v>
      </c>
      <c r="BG37">
        <v>76.2</v>
      </c>
      <c r="BH37">
        <v>408875.4</v>
      </c>
      <c r="BI37">
        <v>8.07</v>
      </c>
      <c r="BK37">
        <v>75.900000000000006</v>
      </c>
      <c r="BL37">
        <v>81.7</v>
      </c>
      <c r="BM37">
        <v>12.4</v>
      </c>
      <c r="BN37">
        <v>37.799999999999997</v>
      </c>
      <c r="BO37">
        <v>522147.3</v>
      </c>
      <c r="BP37">
        <v>7.49</v>
      </c>
      <c r="BR37">
        <v>108.3</v>
      </c>
      <c r="BS37">
        <v>77.8</v>
      </c>
      <c r="BT37">
        <v>13.1</v>
      </c>
      <c r="BU37">
        <v>61.4</v>
      </c>
      <c r="BV37">
        <v>642417.30000000005</v>
      </c>
      <c r="BW37">
        <v>8.89</v>
      </c>
      <c r="BY37">
        <v>148.9</v>
      </c>
      <c r="BZ37">
        <v>71.3</v>
      </c>
      <c r="CA37">
        <v>16.899999999999999</v>
      </c>
      <c r="CB37">
        <v>7.8</v>
      </c>
      <c r="CC37">
        <v>742899.19999999995</v>
      </c>
      <c r="CD37">
        <v>10.27</v>
      </c>
      <c r="CF37">
        <v>191</v>
      </c>
      <c r="CG37">
        <v>62.4</v>
      </c>
      <c r="CH37">
        <v>20.6</v>
      </c>
      <c r="CI37">
        <v>24.4</v>
      </c>
      <c r="CJ37">
        <v>937327.2</v>
      </c>
      <c r="CK37">
        <v>12.53</v>
      </c>
      <c r="CM37">
        <v>276.5</v>
      </c>
      <c r="CN37">
        <v>55</v>
      </c>
      <c r="CP37" s="2">
        <v>289.67373585000001</v>
      </c>
      <c r="CQ37" s="2">
        <v>542.29644206599164</v>
      </c>
      <c r="CR37" s="2">
        <v>496.38748434885002</v>
      </c>
      <c r="CS37" s="2">
        <v>518.45774085826167</v>
      </c>
      <c r="CT37" s="2">
        <v>633.48375672743168</v>
      </c>
      <c r="CU37" s="9">
        <v>0.06</v>
      </c>
      <c r="CV37" s="9">
        <v>0.14000000000000001</v>
      </c>
      <c r="CW37" s="9">
        <v>7.0000000000000007E-2</v>
      </c>
      <c r="CX37" s="9">
        <v>0.04</v>
      </c>
      <c r="CY37" s="2">
        <f t="shared" si="4"/>
        <v>163.6634264619741</v>
      </c>
      <c r="CZ37" s="5">
        <v>2575</v>
      </c>
      <c r="DA37" s="5">
        <v>794</v>
      </c>
      <c r="DB37" s="5">
        <v>817540</v>
      </c>
      <c r="DC37" s="5">
        <v>2395</v>
      </c>
      <c r="DE37" t="s">
        <v>146</v>
      </c>
      <c r="DK37" s="5">
        <f>+DJ36*CZ37</f>
        <v>1160.9104402651096</v>
      </c>
      <c r="DM37" s="5">
        <f>+DL36*DA37</f>
        <v>342.79090624223369</v>
      </c>
    </row>
    <row r="38" spans="1:117" x14ac:dyDescent="0.25">
      <c r="A38" t="s">
        <v>156</v>
      </c>
      <c r="B38" t="s">
        <v>157</v>
      </c>
      <c r="C38">
        <v>117.47004</v>
      </c>
      <c r="D38">
        <v>-31.587308</v>
      </c>
      <c r="E38">
        <v>2021</v>
      </c>
      <c r="F38" t="s">
        <v>155</v>
      </c>
      <c r="G38" t="s">
        <v>141</v>
      </c>
      <c r="H38" t="s">
        <v>144</v>
      </c>
      <c r="I38">
        <v>25.7</v>
      </c>
      <c r="J38">
        <v>0.2</v>
      </c>
      <c r="K38">
        <v>953973.6</v>
      </c>
      <c r="L38">
        <v>17.420000000000002</v>
      </c>
      <c r="M38">
        <v>35.9</v>
      </c>
      <c r="N38">
        <v>366.2</v>
      </c>
      <c r="O38">
        <v>34.1</v>
      </c>
      <c r="P38">
        <v>23.8</v>
      </c>
      <c r="Q38">
        <v>15.8</v>
      </c>
      <c r="R38">
        <v>735212</v>
      </c>
      <c r="S38">
        <v>15.07</v>
      </c>
      <c r="T38">
        <v>32</v>
      </c>
      <c r="U38">
        <v>262.5</v>
      </c>
      <c r="V38">
        <v>44.2</v>
      </c>
      <c r="W38">
        <v>23.6</v>
      </c>
      <c r="X38">
        <v>58.6</v>
      </c>
      <c r="Y38">
        <v>661239</v>
      </c>
      <c r="Z38">
        <v>12.08</v>
      </c>
      <c r="AA38">
        <v>27.6</v>
      </c>
      <c r="AB38">
        <v>231.6</v>
      </c>
      <c r="AC38">
        <v>47.2</v>
      </c>
      <c r="AD38">
        <v>20</v>
      </c>
      <c r="AE38">
        <v>20.399999999999999</v>
      </c>
      <c r="AF38">
        <v>492339.1</v>
      </c>
      <c r="AG38">
        <v>10.18</v>
      </c>
      <c r="AH38">
        <v>23.5</v>
      </c>
      <c r="AI38">
        <v>168.6</v>
      </c>
      <c r="AJ38">
        <v>51.7</v>
      </c>
      <c r="AK38">
        <v>15.4</v>
      </c>
      <c r="AL38">
        <v>73.599999999999994</v>
      </c>
      <c r="AM38">
        <v>369668.6</v>
      </c>
      <c r="AN38">
        <v>10.06</v>
      </c>
      <c r="AO38">
        <v>16.5</v>
      </c>
      <c r="AP38">
        <v>109.5</v>
      </c>
      <c r="AQ38">
        <v>66.599999999999994</v>
      </c>
      <c r="AR38">
        <v>10.6</v>
      </c>
      <c r="AS38">
        <v>28.2</v>
      </c>
      <c r="AT38">
        <v>306172.79999999999</v>
      </c>
      <c r="AU38">
        <v>8.34</v>
      </c>
      <c r="AV38">
        <v>11.4</v>
      </c>
      <c r="AW38">
        <v>63.5</v>
      </c>
      <c r="AX38">
        <v>80.099999999999994</v>
      </c>
      <c r="AY38">
        <v>11.5</v>
      </c>
      <c r="AZ38">
        <v>67.599999999999994</v>
      </c>
      <c r="BA38">
        <v>320058.8</v>
      </c>
      <c r="BB38">
        <v>12.1</v>
      </c>
      <c r="BC38">
        <v>12.7</v>
      </c>
      <c r="BD38">
        <v>63.1</v>
      </c>
      <c r="BE38">
        <v>85.3</v>
      </c>
      <c r="BF38">
        <v>11.3</v>
      </c>
      <c r="BG38">
        <v>42.8</v>
      </c>
      <c r="BH38">
        <v>438599.8</v>
      </c>
      <c r="BI38">
        <v>8.3800000000000008</v>
      </c>
      <c r="BJ38">
        <v>13.1</v>
      </c>
      <c r="BK38">
        <v>91.3</v>
      </c>
      <c r="BL38">
        <v>78.099999999999994</v>
      </c>
      <c r="BM38">
        <v>13.2</v>
      </c>
      <c r="BN38">
        <v>13.2</v>
      </c>
      <c r="BO38">
        <v>602814.1</v>
      </c>
      <c r="BP38">
        <v>9.6300000000000008</v>
      </c>
      <c r="BQ38">
        <v>17</v>
      </c>
      <c r="BR38">
        <v>153.80000000000001</v>
      </c>
      <c r="BS38">
        <v>63.9</v>
      </c>
      <c r="BT38">
        <v>15.2</v>
      </c>
      <c r="BU38">
        <v>30.8</v>
      </c>
      <c r="BV38">
        <v>729935.5</v>
      </c>
      <c r="BW38">
        <v>10.91</v>
      </c>
      <c r="BX38">
        <v>20.6</v>
      </c>
      <c r="BY38">
        <v>195.2</v>
      </c>
      <c r="BZ38">
        <v>60</v>
      </c>
      <c r="CA38">
        <v>20.3</v>
      </c>
      <c r="CB38">
        <v>0.2</v>
      </c>
      <c r="CC38">
        <v>858355.8</v>
      </c>
      <c r="CD38">
        <v>14.07</v>
      </c>
      <c r="CE38">
        <v>28.5</v>
      </c>
      <c r="CF38">
        <v>280.60000000000002</v>
      </c>
      <c r="CG38">
        <v>42.8</v>
      </c>
      <c r="CH38">
        <v>25.2</v>
      </c>
      <c r="CI38">
        <v>0.2</v>
      </c>
      <c r="CJ38">
        <v>1017459.4</v>
      </c>
      <c r="CK38">
        <v>15.11</v>
      </c>
      <c r="CL38">
        <v>34.700000000000003</v>
      </c>
      <c r="CM38">
        <v>361.8</v>
      </c>
      <c r="CN38">
        <v>36.1</v>
      </c>
      <c r="CP38" s="2">
        <v>201.19636589166666</v>
      </c>
      <c r="CQ38" s="2">
        <v>333.51709289829085</v>
      </c>
      <c r="CR38" s="2">
        <v>284.27702022868755</v>
      </c>
      <c r="CS38" s="2">
        <v>216.31792831941917</v>
      </c>
      <c r="CT38" s="2">
        <v>220.93775683681835</v>
      </c>
      <c r="CU38" s="9">
        <v>0.06</v>
      </c>
      <c r="CV38" s="9">
        <v>0.14000000000000001</v>
      </c>
      <c r="CW38" s="9">
        <v>7.0000000000000007E-2</v>
      </c>
      <c r="CX38" s="9">
        <v>0.04</v>
      </c>
      <c r="CY38" s="2">
        <f t="shared" si="4"/>
        <v>83.789573661745791</v>
      </c>
      <c r="CZ38" s="5">
        <v>2084</v>
      </c>
      <c r="DA38" s="5">
        <v>1442</v>
      </c>
      <c r="DB38" s="5">
        <v>630080</v>
      </c>
      <c r="DC38" s="5">
        <v>1947</v>
      </c>
      <c r="DE38" t="s">
        <v>147</v>
      </c>
      <c r="DF38">
        <v>360924</v>
      </c>
      <c r="DG38">
        <v>206847</v>
      </c>
      <c r="DH38">
        <v>172</v>
      </c>
      <c r="DI38" s="4">
        <v>1.7448838996939766</v>
      </c>
      <c r="DJ38" s="4">
        <v>1.006907557023613</v>
      </c>
      <c r="DK38" s="6">
        <v>2098.3953488372094</v>
      </c>
      <c r="DL38" s="4">
        <v>0.83397977615069507</v>
      </c>
      <c r="DM38" s="6">
        <v>1202.5988372093022</v>
      </c>
    </row>
    <row r="39" spans="1:117" x14ac:dyDescent="0.25">
      <c r="A39" t="s">
        <v>156</v>
      </c>
      <c r="B39" t="s">
        <v>157</v>
      </c>
      <c r="C39">
        <v>117.47004</v>
      </c>
      <c r="D39">
        <v>-31.587308</v>
      </c>
      <c r="E39">
        <v>2022</v>
      </c>
      <c r="F39" t="s">
        <v>155</v>
      </c>
      <c r="G39" t="s">
        <v>141</v>
      </c>
      <c r="H39" t="s">
        <v>144</v>
      </c>
      <c r="I39">
        <v>26.9</v>
      </c>
      <c r="J39">
        <v>0</v>
      </c>
      <c r="K39">
        <v>1012049.1</v>
      </c>
      <c r="L39">
        <v>16.420000000000002</v>
      </c>
      <c r="M39">
        <v>36.6</v>
      </c>
      <c r="N39">
        <v>379.6</v>
      </c>
      <c r="O39">
        <v>35</v>
      </c>
      <c r="P39">
        <v>27</v>
      </c>
      <c r="Q39">
        <v>5</v>
      </c>
      <c r="R39">
        <v>805113.3</v>
      </c>
      <c r="S39">
        <v>15.75</v>
      </c>
      <c r="T39">
        <v>34.700000000000003</v>
      </c>
      <c r="U39">
        <v>310.89999999999998</v>
      </c>
      <c r="V39">
        <v>36.9</v>
      </c>
      <c r="W39">
        <v>22.9</v>
      </c>
      <c r="X39">
        <v>26.2</v>
      </c>
      <c r="Y39">
        <v>664970.9</v>
      </c>
      <c r="Z39">
        <v>14.74</v>
      </c>
      <c r="AA39">
        <v>28.7</v>
      </c>
      <c r="AB39">
        <v>243.3</v>
      </c>
      <c r="AC39">
        <v>51.4</v>
      </c>
      <c r="AD39">
        <v>18.100000000000001</v>
      </c>
      <c r="AE39">
        <v>17.399999999999999</v>
      </c>
      <c r="AF39">
        <v>490084.4</v>
      </c>
      <c r="AG39">
        <v>11.12</v>
      </c>
      <c r="AH39">
        <v>21.2</v>
      </c>
      <c r="AI39">
        <v>146.5</v>
      </c>
      <c r="AJ39">
        <v>60.6</v>
      </c>
      <c r="AK39">
        <v>15.1</v>
      </c>
      <c r="AL39">
        <v>34.799999999999997</v>
      </c>
      <c r="AM39">
        <v>403047</v>
      </c>
      <c r="AN39">
        <v>9.82</v>
      </c>
      <c r="AO39">
        <v>16.7</v>
      </c>
      <c r="AP39">
        <v>116.9</v>
      </c>
      <c r="AQ39">
        <v>64</v>
      </c>
      <c r="AR39">
        <v>12.2</v>
      </c>
      <c r="AS39">
        <v>54</v>
      </c>
      <c r="AT39">
        <v>320801.90000000002</v>
      </c>
      <c r="AU39">
        <v>9.83</v>
      </c>
      <c r="AV39">
        <v>12.9</v>
      </c>
      <c r="AW39">
        <v>71.099999999999994</v>
      </c>
      <c r="AX39">
        <v>77.8</v>
      </c>
      <c r="AY39">
        <v>11</v>
      </c>
      <c r="AZ39">
        <v>45.2</v>
      </c>
      <c r="BA39">
        <v>345886.9</v>
      </c>
      <c r="BB39">
        <v>8.5399999999999991</v>
      </c>
      <c r="BC39">
        <v>11.6</v>
      </c>
      <c r="BD39">
        <v>75.7</v>
      </c>
      <c r="BE39">
        <v>78</v>
      </c>
      <c r="BF39">
        <v>10.3</v>
      </c>
      <c r="BG39">
        <v>90</v>
      </c>
      <c r="BH39">
        <v>448992.1</v>
      </c>
      <c r="BI39">
        <v>9.1</v>
      </c>
      <c r="BJ39">
        <v>11.9</v>
      </c>
      <c r="BK39">
        <v>87.1</v>
      </c>
      <c r="BL39">
        <v>79.7</v>
      </c>
      <c r="BM39">
        <v>12.8</v>
      </c>
      <c r="BN39">
        <v>34.6</v>
      </c>
      <c r="BO39">
        <v>553009</v>
      </c>
      <c r="BP39">
        <v>7.65</v>
      </c>
      <c r="BQ39">
        <v>16.100000000000001</v>
      </c>
      <c r="BR39">
        <v>124</v>
      </c>
      <c r="BS39">
        <v>74.599999999999994</v>
      </c>
      <c r="BT39">
        <v>14.8</v>
      </c>
      <c r="BU39">
        <v>15.4</v>
      </c>
      <c r="BV39">
        <v>750041.4</v>
      </c>
      <c r="BW39">
        <v>8.92</v>
      </c>
      <c r="BX39">
        <v>21.5</v>
      </c>
      <c r="BY39">
        <v>195.8</v>
      </c>
      <c r="BZ39">
        <v>59</v>
      </c>
      <c r="CA39">
        <v>19.2</v>
      </c>
      <c r="CB39">
        <v>12.8</v>
      </c>
      <c r="CC39">
        <v>827228.4</v>
      </c>
      <c r="CD39">
        <v>10.65</v>
      </c>
      <c r="CE39">
        <v>26.3</v>
      </c>
      <c r="CF39">
        <v>249.7</v>
      </c>
      <c r="CG39">
        <v>48.5</v>
      </c>
      <c r="CH39">
        <v>23.6</v>
      </c>
      <c r="CI39">
        <v>5.2</v>
      </c>
      <c r="CJ39">
        <v>1009896.6</v>
      </c>
      <c r="CK39">
        <v>14.18</v>
      </c>
      <c r="CL39">
        <v>33.700000000000003</v>
      </c>
      <c r="CM39">
        <v>341.2</v>
      </c>
      <c r="CN39">
        <v>38.9</v>
      </c>
      <c r="CP39" s="2">
        <v>289.67373585000001</v>
      </c>
      <c r="CQ39" s="2">
        <v>542.29644206599164</v>
      </c>
      <c r="CR39" s="2">
        <v>496.38748434885002</v>
      </c>
      <c r="CS39" s="2">
        <v>518.45774085826167</v>
      </c>
      <c r="CT39" s="2">
        <v>633.48375672743168</v>
      </c>
      <c r="CU39" s="9">
        <v>0.06</v>
      </c>
      <c r="CV39" s="9">
        <v>0.14000000000000001</v>
      </c>
      <c r="CW39" s="9">
        <v>7.0000000000000007E-2</v>
      </c>
      <c r="CX39" s="9">
        <v>0.04</v>
      </c>
      <c r="CY39" s="2">
        <f t="shared" si="4"/>
        <v>163.6634264619741</v>
      </c>
      <c r="CZ39" s="5">
        <v>3283</v>
      </c>
      <c r="DA39" s="5">
        <v>1633</v>
      </c>
      <c r="DB39" s="5">
        <v>1057730</v>
      </c>
      <c r="DC39" s="5">
        <v>3165</v>
      </c>
      <c r="DE39" t="s">
        <v>147</v>
      </c>
      <c r="DK39" s="5">
        <f>+DJ38*CZ39</f>
        <v>3305.6775097085215</v>
      </c>
      <c r="DM39" s="5">
        <f>+DL38*DA39</f>
        <v>1361.888974454085</v>
      </c>
    </row>
    <row r="40" spans="1:117" x14ac:dyDescent="0.25">
      <c r="A40" t="s">
        <v>154</v>
      </c>
      <c r="B40" t="s">
        <v>153</v>
      </c>
      <c r="C40">
        <v>118.01770500000001</v>
      </c>
      <c r="D40">
        <v>-33.971339999999998</v>
      </c>
      <c r="E40">
        <v>2021</v>
      </c>
      <c r="F40" t="s">
        <v>153</v>
      </c>
      <c r="G40" t="s">
        <v>139</v>
      </c>
      <c r="H40" t="s">
        <v>142</v>
      </c>
      <c r="I40">
        <v>21.6</v>
      </c>
      <c r="J40">
        <v>7</v>
      </c>
      <c r="K40">
        <v>869902.3</v>
      </c>
      <c r="L40">
        <v>17.57</v>
      </c>
      <c r="M40">
        <v>28.6</v>
      </c>
      <c r="N40">
        <v>286.7</v>
      </c>
      <c r="O40">
        <v>55.4</v>
      </c>
      <c r="P40">
        <v>20.8</v>
      </c>
      <c r="Q40">
        <v>32.4</v>
      </c>
      <c r="R40">
        <v>658861.9</v>
      </c>
      <c r="S40">
        <v>17.04</v>
      </c>
      <c r="T40">
        <v>26.4</v>
      </c>
      <c r="U40">
        <v>212.3</v>
      </c>
      <c r="V40">
        <v>61.9</v>
      </c>
      <c r="W40">
        <v>21.1</v>
      </c>
      <c r="X40">
        <v>31.6</v>
      </c>
      <c r="Y40">
        <v>544209.30000000005</v>
      </c>
      <c r="Z40">
        <v>12.72</v>
      </c>
      <c r="AA40">
        <v>23.3</v>
      </c>
      <c r="AB40">
        <v>174.1</v>
      </c>
      <c r="AC40">
        <v>64.8</v>
      </c>
      <c r="AD40">
        <v>18.2</v>
      </c>
      <c r="AE40">
        <v>57.8</v>
      </c>
      <c r="AF40">
        <v>411707.4</v>
      </c>
      <c r="AG40">
        <v>10.46</v>
      </c>
      <c r="AH40">
        <v>19.8</v>
      </c>
      <c r="AI40">
        <v>108.5</v>
      </c>
      <c r="AJ40">
        <v>73.099999999999994</v>
      </c>
      <c r="AK40">
        <v>15.3</v>
      </c>
      <c r="AL40">
        <v>58.2</v>
      </c>
      <c r="AM40">
        <v>288999.8</v>
      </c>
      <c r="AN40">
        <v>10.89</v>
      </c>
      <c r="AO40">
        <v>15.5</v>
      </c>
      <c r="AP40">
        <v>70.400000000000006</v>
      </c>
      <c r="AQ40">
        <v>78.8</v>
      </c>
      <c r="AR40">
        <v>12.5</v>
      </c>
      <c r="AS40">
        <v>61.2</v>
      </c>
      <c r="AT40">
        <v>254791.5</v>
      </c>
      <c r="AU40">
        <v>12.9</v>
      </c>
      <c r="AV40">
        <v>12.2</v>
      </c>
      <c r="AW40">
        <v>56.3</v>
      </c>
      <c r="AX40">
        <v>83.7</v>
      </c>
      <c r="AY40">
        <v>12</v>
      </c>
      <c r="AZ40">
        <v>55</v>
      </c>
      <c r="BA40">
        <v>165630.1</v>
      </c>
      <c r="BB40">
        <v>16.04</v>
      </c>
      <c r="BC40">
        <v>10.9</v>
      </c>
      <c r="BD40">
        <v>37</v>
      </c>
      <c r="BE40">
        <v>86</v>
      </c>
      <c r="BF40">
        <v>12.3</v>
      </c>
      <c r="BG40">
        <v>35.799999999999997</v>
      </c>
      <c r="BH40">
        <v>390799</v>
      </c>
      <c r="BI40">
        <v>12.68</v>
      </c>
      <c r="BJ40">
        <v>11.7</v>
      </c>
      <c r="BK40">
        <v>80.5</v>
      </c>
      <c r="BL40">
        <v>81.3</v>
      </c>
      <c r="BM40">
        <v>13</v>
      </c>
      <c r="BN40">
        <v>56.2</v>
      </c>
      <c r="BO40">
        <v>498509.9</v>
      </c>
      <c r="BP40">
        <v>10.4</v>
      </c>
      <c r="BQ40">
        <v>13.8</v>
      </c>
      <c r="BR40">
        <v>113.2</v>
      </c>
      <c r="BS40">
        <v>77.5</v>
      </c>
      <c r="BT40">
        <v>13.9</v>
      </c>
      <c r="BU40">
        <v>52.8</v>
      </c>
      <c r="BV40">
        <v>624156.19999999995</v>
      </c>
      <c r="BW40">
        <v>11.11</v>
      </c>
      <c r="BX40">
        <v>16.2</v>
      </c>
      <c r="BY40">
        <v>142.30000000000001</v>
      </c>
      <c r="BZ40">
        <v>76</v>
      </c>
      <c r="CA40">
        <v>16.899999999999999</v>
      </c>
      <c r="CB40">
        <v>21.6</v>
      </c>
      <c r="CC40">
        <v>762521.7</v>
      </c>
      <c r="CD40">
        <v>12.32</v>
      </c>
      <c r="CE40">
        <v>21</v>
      </c>
      <c r="CF40">
        <v>205.9</v>
      </c>
      <c r="CG40">
        <v>64.900000000000006</v>
      </c>
      <c r="CH40">
        <v>20.2</v>
      </c>
      <c r="CI40">
        <v>5.2</v>
      </c>
      <c r="CJ40">
        <v>902005.6</v>
      </c>
      <c r="CK40">
        <v>13.57</v>
      </c>
      <c r="CL40">
        <v>26.4</v>
      </c>
      <c r="CM40">
        <v>276.7</v>
      </c>
      <c r="CN40">
        <v>57.9</v>
      </c>
      <c r="CP40" s="2">
        <v>201.19636589166666</v>
      </c>
      <c r="CQ40" s="2">
        <v>333.51709289829085</v>
      </c>
      <c r="CR40" s="2">
        <v>284.27702022868755</v>
      </c>
      <c r="CS40" s="2">
        <v>216.31792831941917</v>
      </c>
      <c r="CT40" s="2">
        <v>220.93775683681835</v>
      </c>
      <c r="CU40" s="9">
        <v>0.06</v>
      </c>
      <c r="CV40" s="9">
        <v>0.14000000000000001</v>
      </c>
      <c r="CW40" s="9">
        <v>7.0000000000000007E-2</v>
      </c>
      <c r="CX40" s="9">
        <v>0.04</v>
      </c>
      <c r="CY40" s="2">
        <f t="shared" ref="CY40:CY41" si="5">+CQ40*CU40+CR40*CV40+CS40*CW40+CT40*CX40</f>
        <v>83.789573661745791</v>
      </c>
      <c r="CZ40">
        <v>1906</v>
      </c>
      <c r="DA40">
        <v>791</v>
      </c>
      <c r="DB40">
        <v>672130</v>
      </c>
      <c r="DC40">
        <v>1780</v>
      </c>
      <c r="DE40" t="s">
        <v>146</v>
      </c>
      <c r="DF40">
        <v>500299</v>
      </c>
      <c r="DG40">
        <v>212219</v>
      </c>
      <c r="DH40">
        <v>219</v>
      </c>
      <c r="DI40" s="4">
        <v>2.3574656369128117</v>
      </c>
      <c r="DJ40" s="4">
        <v>1.1985678487065599</v>
      </c>
      <c r="DK40" s="6">
        <v>2284.4703196347032</v>
      </c>
      <c r="DL40" s="4">
        <v>1.2250777872065302</v>
      </c>
      <c r="DM40" s="6">
        <v>969.03652968036533</v>
      </c>
    </row>
    <row r="41" spans="1:117" x14ac:dyDescent="0.25">
      <c r="A41" t="s">
        <v>154</v>
      </c>
      <c r="B41" t="s">
        <v>153</v>
      </c>
      <c r="C41">
        <v>118.01770500000001</v>
      </c>
      <c r="D41">
        <v>-33.971339999999998</v>
      </c>
      <c r="E41">
        <v>2022</v>
      </c>
      <c r="F41" t="s">
        <v>153</v>
      </c>
      <c r="G41" t="s">
        <v>139</v>
      </c>
      <c r="H41" t="s">
        <v>142</v>
      </c>
      <c r="I41">
        <v>21.5</v>
      </c>
      <c r="J41">
        <v>1.8</v>
      </c>
      <c r="K41">
        <v>901343.3</v>
      </c>
      <c r="L41">
        <v>14.9</v>
      </c>
      <c r="M41">
        <v>29.3</v>
      </c>
      <c r="N41">
        <v>276.2</v>
      </c>
      <c r="O41">
        <v>59.3</v>
      </c>
      <c r="P41">
        <v>22.4</v>
      </c>
      <c r="Q41">
        <v>1.8</v>
      </c>
      <c r="R41">
        <v>720014.7</v>
      </c>
      <c r="S41">
        <v>16.62</v>
      </c>
      <c r="T41">
        <v>29.2</v>
      </c>
      <c r="U41">
        <v>244.2</v>
      </c>
      <c r="V41">
        <v>57.6</v>
      </c>
      <c r="W41">
        <v>20.2</v>
      </c>
      <c r="X41">
        <v>34.6</v>
      </c>
      <c r="Y41">
        <v>517232.6</v>
      </c>
      <c r="Z41">
        <v>13.91</v>
      </c>
      <c r="AA41">
        <v>24.5</v>
      </c>
      <c r="AB41">
        <v>167</v>
      </c>
      <c r="AC41">
        <v>67.3</v>
      </c>
      <c r="AD41">
        <v>16.899999999999999</v>
      </c>
      <c r="AE41">
        <v>52.8</v>
      </c>
      <c r="AF41">
        <v>419365.7</v>
      </c>
      <c r="AG41">
        <v>10.7</v>
      </c>
      <c r="AH41">
        <v>18.8</v>
      </c>
      <c r="AI41">
        <v>110.7</v>
      </c>
      <c r="AJ41">
        <v>73.099999999999994</v>
      </c>
      <c r="AK41">
        <v>14.6</v>
      </c>
      <c r="AL41">
        <v>42.2</v>
      </c>
      <c r="AM41">
        <v>323486</v>
      </c>
      <c r="AN41">
        <v>10.19</v>
      </c>
      <c r="AO41">
        <v>15.3</v>
      </c>
      <c r="AP41">
        <v>83.5</v>
      </c>
      <c r="AQ41">
        <v>75.3</v>
      </c>
      <c r="AR41">
        <v>13</v>
      </c>
      <c r="AS41">
        <v>47.4</v>
      </c>
      <c r="AT41">
        <v>238141.4</v>
      </c>
      <c r="AU41">
        <v>12.52</v>
      </c>
      <c r="AV41">
        <v>12.5</v>
      </c>
      <c r="AW41">
        <v>49.9</v>
      </c>
      <c r="AX41">
        <v>84.4</v>
      </c>
      <c r="AY41">
        <v>11.9</v>
      </c>
      <c r="AZ41">
        <v>56.2</v>
      </c>
      <c r="BA41">
        <v>290384</v>
      </c>
      <c r="BB41">
        <v>11.29</v>
      </c>
      <c r="BC41">
        <v>10.9</v>
      </c>
      <c r="BD41">
        <v>62.5</v>
      </c>
      <c r="BE41">
        <v>83.7</v>
      </c>
      <c r="BF41">
        <v>11.6</v>
      </c>
      <c r="BG41">
        <v>57.2</v>
      </c>
      <c r="BH41">
        <v>385496.9</v>
      </c>
      <c r="BI41">
        <v>12.87</v>
      </c>
      <c r="BJ41">
        <v>11.1</v>
      </c>
      <c r="BK41">
        <v>77.900000000000006</v>
      </c>
      <c r="BL41">
        <v>81.3</v>
      </c>
      <c r="BM41">
        <v>13.4</v>
      </c>
      <c r="BN41">
        <v>31.6</v>
      </c>
      <c r="BO41">
        <v>517563.9</v>
      </c>
      <c r="BP41">
        <v>10.78</v>
      </c>
      <c r="BQ41">
        <v>14.1</v>
      </c>
      <c r="BR41">
        <v>114.2</v>
      </c>
      <c r="BS41">
        <v>78.5</v>
      </c>
      <c r="BT41">
        <v>13.8</v>
      </c>
      <c r="BU41">
        <v>119</v>
      </c>
      <c r="BV41">
        <v>596948.6</v>
      </c>
      <c r="BW41">
        <v>11.45</v>
      </c>
      <c r="BX41">
        <v>15.8</v>
      </c>
      <c r="BY41">
        <v>143.6</v>
      </c>
      <c r="BZ41">
        <v>74.599999999999994</v>
      </c>
      <c r="CA41">
        <v>16.600000000000001</v>
      </c>
      <c r="CB41">
        <v>15.6</v>
      </c>
      <c r="CC41">
        <v>657987.1</v>
      </c>
      <c r="CD41">
        <v>12.67</v>
      </c>
      <c r="CE41">
        <v>18.8</v>
      </c>
      <c r="CF41">
        <v>167.1</v>
      </c>
      <c r="CG41">
        <v>69.2</v>
      </c>
      <c r="CH41">
        <v>19.2</v>
      </c>
      <c r="CI41">
        <v>14</v>
      </c>
      <c r="CJ41">
        <v>859718.3</v>
      </c>
      <c r="CK41">
        <v>14.27</v>
      </c>
      <c r="CL41">
        <v>24.5</v>
      </c>
      <c r="CM41">
        <v>247.9</v>
      </c>
      <c r="CN41">
        <v>63.6</v>
      </c>
      <c r="CP41" s="2">
        <v>289.67373585000001</v>
      </c>
      <c r="CQ41" s="2">
        <v>542.29644206599164</v>
      </c>
      <c r="CR41" s="2">
        <v>496.38748434885002</v>
      </c>
      <c r="CS41" s="2">
        <v>518.45774085826167</v>
      </c>
      <c r="CT41" s="2">
        <v>633.48375672743168</v>
      </c>
      <c r="CU41" s="9">
        <v>0.06</v>
      </c>
      <c r="CV41" s="9">
        <v>0.14000000000000001</v>
      </c>
      <c r="CW41" s="9">
        <v>7.0000000000000007E-2</v>
      </c>
      <c r="CX41" s="9">
        <v>0.04</v>
      </c>
      <c r="CY41" s="2">
        <f t="shared" si="5"/>
        <v>163.6634264619741</v>
      </c>
      <c r="CZ41">
        <v>2575</v>
      </c>
      <c r="DA41">
        <v>794</v>
      </c>
      <c r="DB41">
        <v>817540</v>
      </c>
      <c r="DC41">
        <v>2395</v>
      </c>
      <c r="DE41" t="s">
        <v>146</v>
      </c>
      <c r="DK41" s="5">
        <f>+DJ40*CZ41</f>
        <v>3086.3122104193917</v>
      </c>
      <c r="DM41" s="5">
        <f>+DL40*DA41</f>
        <v>972.71176304198491</v>
      </c>
    </row>
  </sheetData>
  <autoFilter ref="A1:DE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TrainSet_13-22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Julieta Falco</cp:lastModifiedBy>
  <dcterms:created xsi:type="dcterms:W3CDTF">2026-04-25T11:00:12Z</dcterms:created>
  <dcterms:modified xsi:type="dcterms:W3CDTF">2026-04-26T11:59:58Z</dcterms:modified>
</cp:coreProperties>
</file>